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BSM" sheetId="1" r:id="rId1"/>
  </sheets>
  <functionGroups builtInGroupCount="18">
    <functionGroup name="xlwings"/>
  </functionGroups>
  <externalReferences>
    <externalReference r:id="rId2"/>
  </externalReferences>
  <definedNames>
    <definedName name="dS">[1]Global!$F$1</definedName>
  </definedNames>
  <calcPr calcId="152511" calcMode="manual"/>
  <extLst>
    <ext xmlns:x14="http://schemas.microsoft.com/office/spreadsheetml/2009/9/main" uri="{8193D73E-4604-4355-AFF4-8A2333D13BE4}">
      <x14:definedNames>
        <x14:definedName name="GBlackScholesNGreeek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L6" i="1" l="1"/>
  <c r="M6" i="1" s="1"/>
  <c r="N6" i="1" s="1"/>
  <c r="O6" i="1" s="1"/>
  <c r="P6" i="1" s="1"/>
  <c r="Q6" i="1" s="1"/>
  <c r="R6" i="1" s="1"/>
  <c r="S6" i="1" s="1"/>
  <c r="T6" i="1" s="1"/>
  <c r="U6" i="1" s="1"/>
  <c r="V6" i="1" s="1"/>
  <c r="W6" i="1" s="1"/>
  <c r="X6" i="1" s="1"/>
  <c r="Y6" i="1" s="1"/>
  <c r="Z6" i="1" s="1"/>
  <c r="AA6" i="1" s="1"/>
  <c r="AB6" i="1" s="1"/>
  <c r="AC6" i="1" s="1"/>
  <c r="G6" i="1"/>
  <c r="G7" i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C6" i="1"/>
  <c r="L8" i="1"/>
  <c r="P8" i="1"/>
  <c r="T8" i="1"/>
  <c r="X8" i="1"/>
  <c r="AB8" i="1"/>
  <c r="N9" i="1"/>
  <c r="R9" i="1"/>
  <c r="V9" i="1"/>
  <c r="Z9" i="1"/>
  <c r="L10" i="1"/>
  <c r="P10" i="1"/>
  <c r="T10" i="1"/>
  <c r="X10" i="1"/>
  <c r="AB10" i="1"/>
  <c r="N11" i="1"/>
  <c r="R11" i="1"/>
  <c r="V11" i="1"/>
  <c r="Z11" i="1"/>
  <c r="L12" i="1"/>
  <c r="P12" i="1"/>
  <c r="T12" i="1"/>
  <c r="X12" i="1"/>
  <c r="AB12" i="1"/>
  <c r="N13" i="1"/>
  <c r="R13" i="1"/>
  <c r="V13" i="1"/>
  <c r="Z13" i="1"/>
  <c r="L14" i="1"/>
  <c r="P14" i="1"/>
  <c r="T14" i="1"/>
  <c r="X14" i="1"/>
  <c r="AB14" i="1"/>
  <c r="N15" i="1"/>
  <c r="R15" i="1"/>
  <c r="V15" i="1"/>
  <c r="Z15" i="1"/>
  <c r="L16" i="1"/>
  <c r="P16" i="1"/>
  <c r="T16" i="1"/>
  <c r="X16" i="1"/>
  <c r="AB16" i="1"/>
  <c r="N17" i="1"/>
  <c r="R17" i="1"/>
  <c r="V17" i="1"/>
  <c r="Z17" i="1"/>
  <c r="L18" i="1"/>
  <c r="P18" i="1"/>
  <c r="T18" i="1"/>
  <c r="X18" i="1"/>
  <c r="AB18" i="1"/>
  <c r="N19" i="1"/>
  <c r="R19" i="1"/>
  <c r="V19" i="1"/>
  <c r="Z19" i="1"/>
  <c r="L20" i="1"/>
  <c r="P20" i="1"/>
  <c r="T20" i="1"/>
  <c r="X20" i="1"/>
  <c r="AB20" i="1"/>
  <c r="N21" i="1"/>
  <c r="R21" i="1"/>
  <c r="V21" i="1"/>
  <c r="Z21" i="1"/>
  <c r="L22" i="1"/>
  <c r="P22" i="1"/>
  <c r="T22" i="1"/>
  <c r="X22" i="1"/>
  <c r="AB22" i="1"/>
  <c r="N23" i="1"/>
  <c r="R23" i="1"/>
  <c r="V23" i="1"/>
  <c r="Z23" i="1"/>
  <c r="L24" i="1"/>
  <c r="P24" i="1"/>
  <c r="T24" i="1"/>
  <c r="X24" i="1"/>
  <c r="AB24" i="1"/>
  <c r="N25" i="1"/>
  <c r="R25" i="1"/>
  <c r="V25" i="1"/>
  <c r="Z25" i="1"/>
  <c r="L26" i="1"/>
  <c r="P26" i="1"/>
  <c r="T26" i="1"/>
  <c r="X26" i="1"/>
  <c r="AB26" i="1"/>
  <c r="N27" i="1"/>
  <c r="R27" i="1"/>
  <c r="V27" i="1"/>
  <c r="Z27" i="1"/>
  <c r="M7" i="1"/>
  <c r="Q7" i="1"/>
  <c r="U7" i="1"/>
  <c r="Y7" i="1"/>
  <c r="AC7" i="1"/>
  <c r="M8" i="1"/>
  <c r="Q8" i="1"/>
  <c r="U8" i="1"/>
  <c r="Y8" i="1"/>
  <c r="AC8" i="1"/>
  <c r="O9" i="1"/>
  <c r="S9" i="1"/>
  <c r="W9" i="1"/>
  <c r="AA9" i="1"/>
  <c r="M10" i="1"/>
  <c r="Q10" i="1"/>
  <c r="U10" i="1"/>
  <c r="Y10" i="1"/>
  <c r="AC10" i="1"/>
  <c r="O11" i="1"/>
  <c r="S11" i="1"/>
  <c r="W11" i="1"/>
  <c r="AA11" i="1"/>
  <c r="M12" i="1"/>
  <c r="Q12" i="1"/>
  <c r="U12" i="1"/>
  <c r="Y12" i="1"/>
  <c r="AC12" i="1"/>
  <c r="O13" i="1"/>
  <c r="S13" i="1"/>
  <c r="W13" i="1"/>
  <c r="AA13" i="1"/>
  <c r="M14" i="1"/>
  <c r="Q14" i="1"/>
  <c r="U14" i="1"/>
  <c r="Y14" i="1"/>
  <c r="AC14" i="1"/>
  <c r="O15" i="1"/>
  <c r="S15" i="1"/>
  <c r="W15" i="1"/>
  <c r="AA15" i="1"/>
  <c r="M16" i="1"/>
  <c r="Q16" i="1"/>
  <c r="U16" i="1"/>
  <c r="Y16" i="1"/>
  <c r="AC16" i="1"/>
  <c r="O17" i="1"/>
  <c r="S17" i="1"/>
  <c r="W17" i="1"/>
  <c r="AA17" i="1"/>
  <c r="M18" i="1"/>
  <c r="Q18" i="1"/>
  <c r="U18" i="1"/>
  <c r="Y18" i="1"/>
  <c r="AC18" i="1"/>
  <c r="O19" i="1"/>
  <c r="S19" i="1"/>
  <c r="W19" i="1"/>
  <c r="AA19" i="1"/>
  <c r="M20" i="1"/>
  <c r="Q20" i="1"/>
  <c r="U20" i="1"/>
  <c r="Y20" i="1"/>
  <c r="AC20" i="1"/>
  <c r="O21" i="1"/>
  <c r="S21" i="1"/>
  <c r="W21" i="1"/>
  <c r="AA21" i="1"/>
  <c r="M22" i="1"/>
  <c r="Q22" i="1"/>
  <c r="U22" i="1"/>
  <c r="Y22" i="1"/>
  <c r="AC22" i="1"/>
  <c r="O23" i="1"/>
  <c r="S23" i="1"/>
  <c r="W23" i="1"/>
  <c r="AA23" i="1"/>
  <c r="M24" i="1"/>
  <c r="Q24" i="1"/>
  <c r="U24" i="1"/>
  <c r="Y24" i="1"/>
  <c r="AC24" i="1"/>
  <c r="O25" i="1"/>
  <c r="S25" i="1"/>
  <c r="W25" i="1"/>
  <c r="AA25" i="1"/>
  <c r="M26" i="1"/>
  <c r="Q26" i="1"/>
  <c r="U26" i="1"/>
  <c r="Y26" i="1"/>
  <c r="AC26" i="1"/>
  <c r="O27" i="1"/>
  <c r="S27" i="1"/>
  <c r="W27" i="1"/>
  <c r="AA27" i="1"/>
  <c r="N7" i="1"/>
  <c r="R7" i="1"/>
  <c r="V7" i="1"/>
  <c r="Z7" i="1"/>
  <c r="L7" i="1"/>
  <c r="W8" i="1"/>
  <c r="Q9" i="1"/>
  <c r="Y9" i="1"/>
  <c r="O10" i="1"/>
  <c r="W10" i="1"/>
  <c r="M11" i="1"/>
  <c r="U11" i="1"/>
  <c r="AC11" i="1"/>
  <c r="S12" i="1"/>
  <c r="AA12" i="1"/>
  <c r="Q13" i="1"/>
  <c r="Y13" i="1"/>
  <c r="O14" i="1"/>
  <c r="W14" i="1"/>
  <c r="M15" i="1"/>
  <c r="U15" i="1"/>
  <c r="AC15" i="1"/>
  <c r="N8" i="1"/>
  <c r="R8" i="1"/>
  <c r="V8" i="1"/>
  <c r="Z8" i="1"/>
  <c r="L9" i="1"/>
  <c r="P9" i="1"/>
  <c r="T9" i="1"/>
  <c r="X9" i="1"/>
  <c r="AB9" i="1"/>
  <c r="N10" i="1"/>
  <c r="R10" i="1"/>
  <c r="V10" i="1"/>
  <c r="Z10" i="1"/>
  <c r="L11" i="1"/>
  <c r="P11" i="1"/>
  <c r="T11" i="1"/>
  <c r="X11" i="1"/>
  <c r="AB11" i="1"/>
  <c r="N12" i="1"/>
  <c r="R12" i="1"/>
  <c r="V12" i="1"/>
  <c r="Z12" i="1"/>
  <c r="L13" i="1"/>
  <c r="P13" i="1"/>
  <c r="T13" i="1"/>
  <c r="X13" i="1"/>
  <c r="AB13" i="1"/>
  <c r="N14" i="1"/>
  <c r="R14" i="1"/>
  <c r="V14" i="1"/>
  <c r="Z14" i="1"/>
  <c r="L15" i="1"/>
  <c r="P15" i="1"/>
  <c r="T15" i="1"/>
  <c r="X15" i="1"/>
  <c r="AB15" i="1"/>
  <c r="N16" i="1"/>
  <c r="R16" i="1"/>
  <c r="V16" i="1"/>
  <c r="Z16" i="1"/>
  <c r="L17" i="1"/>
  <c r="P17" i="1"/>
  <c r="T17" i="1"/>
  <c r="X17" i="1"/>
  <c r="AB17" i="1"/>
  <c r="N18" i="1"/>
  <c r="R18" i="1"/>
  <c r="V18" i="1"/>
  <c r="Z18" i="1"/>
  <c r="L19" i="1"/>
  <c r="P19" i="1"/>
  <c r="T19" i="1"/>
  <c r="X19" i="1"/>
  <c r="AB19" i="1"/>
  <c r="N20" i="1"/>
  <c r="R20" i="1"/>
  <c r="V20" i="1"/>
  <c r="Z20" i="1"/>
  <c r="L21" i="1"/>
  <c r="P21" i="1"/>
  <c r="T21" i="1"/>
  <c r="X21" i="1"/>
  <c r="AB21" i="1"/>
  <c r="N22" i="1"/>
  <c r="R22" i="1"/>
  <c r="V22" i="1"/>
  <c r="Z22" i="1"/>
  <c r="L23" i="1"/>
  <c r="P23" i="1"/>
  <c r="T23" i="1"/>
  <c r="X23" i="1"/>
  <c r="AB23" i="1"/>
  <c r="N24" i="1"/>
  <c r="R24" i="1"/>
  <c r="V24" i="1"/>
  <c r="Z24" i="1"/>
  <c r="L25" i="1"/>
  <c r="P25" i="1"/>
  <c r="T25" i="1"/>
  <c r="X25" i="1"/>
  <c r="AB25" i="1"/>
  <c r="N26" i="1"/>
  <c r="R26" i="1"/>
  <c r="V26" i="1"/>
  <c r="Z26" i="1"/>
  <c r="L27" i="1"/>
  <c r="P27" i="1"/>
  <c r="T27" i="1"/>
  <c r="X27" i="1"/>
  <c r="AB27" i="1"/>
  <c r="O7" i="1"/>
  <c r="S7" i="1"/>
  <c r="W7" i="1"/>
  <c r="AA7" i="1"/>
  <c r="C11" i="1"/>
  <c r="S8" i="1"/>
  <c r="M9" i="1"/>
  <c r="U9" i="1"/>
  <c r="AC9" i="1"/>
  <c r="S10" i="1"/>
  <c r="AA10" i="1"/>
  <c r="Q11" i="1"/>
  <c r="Y11" i="1"/>
  <c r="O12" i="1"/>
  <c r="W12" i="1"/>
  <c r="M13" i="1"/>
  <c r="U13" i="1"/>
  <c r="AC13" i="1"/>
  <c r="S14" i="1"/>
  <c r="AA14" i="1"/>
  <c r="Q15" i="1"/>
  <c r="Y15" i="1"/>
  <c r="O8" i="1"/>
  <c r="AA8" i="1"/>
  <c r="AA16" i="1"/>
  <c r="Y17" i="1"/>
  <c r="W18" i="1"/>
  <c r="U19" i="1"/>
  <c r="S20" i="1"/>
  <c r="Q21" i="1"/>
  <c r="O22" i="1"/>
  <c r="M23" i="1"/>
  <c r="AC23" i="1"/>
  <c r="AA24" i="1"/>
  <c r="Y25" i="1"/>
  <c r="W26" i="1"/>
  <c r="U27" i="1"/>
  <c r="T7" i="1"/>
  <c r="U17" i="1"/>
  <c r="O16" i="1"/>
  <c r="M17" i="1"/>
  <c r="AC17" i="1"/>
  <c r="AA18" i="1"/>
  <c r="Y19" i="1"/>
  <c r="W20" i="1"/>
  <c r="U21" i="1"/>
  <c r="S22" i="1"/>
  <c r="Q23" i="1"/>
  <c r="O24" i="1"/>
  <c r="M25" i="1"/>
  <c r="AC25" i="1"/>
  <c r="AA26" i="1"/>
  <c r="Y27" i="1"/>
  <c r="X7" i="1"/>
  <c r="S18" i="1"/>
  <c r="S16" i="1"/>
  <c r="Q17" i="1"/>
  <c r="O18" i="1"/>
  <c r="M19" i="1"/>
  <c r="AC19" i="1"/>
  <c r="AA20" i="1"/>
  <c r="Y21" i="1"/>
  <c r="W22" i="1"/>
  <c r="U23" i="1"/>
  <c r="S24" i="1"/>
  <c r="Q25" i="1"/>
  <c r="O26" i="1"/>
  <c r="M27" i="1"/>
  <c r="AC27" i="1"/>
  <c r="AB7" i="1"/>
  <c r="W16" i="1"/>
  <c r="Q19" i="1"/>
  <c r="O20" i="1"/>
  <c r="M21" i="1"/>
  <c r="AC21" i="1"/>
  <c r="AA22" i="1"/>
  <c r="Y23" i="1"/>
  <c r="W24" i="1"/>
  <c r="U25" i="1"/>
  <c r="S26" i="1"/>
  <c r="Q27" i="1"/>
  <c r="P7" i="1"/>
</calcChain>
</file>

<file path=xl/sharedStrings.xml><?xml version="1.0" encoding="utf-8"?>
<sst xmlns="http://schemas.openxmlformats.org/spreadsheetml/2006/main" count="21" uniqueCount="21">
  <si>
    <t>3-Dimensional graph:</t>
  </si>
  <si>
    <t>Asset price range :</t>
  </si>
  <si>
    <t>Time range:</t>
  </si>
  <si>
    <r>
      <t xml:space="preserve">Strike price ( </t>
    </r>
    <r>
      <rPr>
        <sz val="10"/>
        <rFont val="Geneva"/>
        <family val="2"/>
      </rPr>
      <t>X</t>
    </r>
    <r>
      <rPr>
        <b/>
        <sz val="10"/>
        <rFont val="Geneva"/>
        <family val="2"/>
      </rPr>
      <t xml:space="preserve"> )</t>
    </r>
  </si>
  <si>
    <t>Minimum :</t>
  </si>
  <si>
    <t>Start point :</t>
  </si>
  <si>
    <t>Maximum :</t>
  </si>
  <si>
    <t>End point :</t>
  </si>
  <si>
    <r>
      <t xml:space="preserve">Time to maturity ( </t>
    </r>
    <r>
      <rPr>
        <sz val="10"/>
        <rFont val="Geneva"/>
        <family val="2"/>
      </rPr>
      <t>T</t>
    </r>
    <r>
      <rPr>
        <b/>
        <sz val="10"/>
        <rFont val="Geneva"/>
        <family val="2"/>
      </rPr>
      <t xml:space="preserve"> )</t>
    </r>
  </si>
  <si>
    <r>
      <t xml:space="preserve">Risk-free rate ( </t>
    </r>
    <r>
      <rPr>
        <sz val="10"/>
        <rFont val="Geneva"/>
        <family val="2"/>
      </rPr>
      <t>r</t>
    </r>
    <r>
      <rPr>
        <b/>
        <sz val="10"/>
        <rFont val="Geneva"/>
        <family val="2"/>
      </rPr>
      <t xml:space="preserve"> )</t>
    </r>
  </si>
  <si>
    <r>
      <t xml:space="preserve">Volatility ( </t>
    </r>
    <r>
      <rPr>
        <sz val="10"/>
        <rFont val="Symbol"/>
        <family val="1"/>
        <charset val="2"/>
      </rPr>
      <t>s</t>
    </r>
    <r>
      <rPr>
        <b/>
        <sz val="10"/>
        <rFont val="Geneva"/>
        <family val="2"/>
      </rPr>
      <t xml:space="preserve"> )</t>
    </r>
  </si>
  <si>
    <t>Calculations of table used to generate 3-D graph</t>
  </si>
  <si>
    <t>Time to maturity</t>
  </si>
  <si>
    <t>Asset price</t>
  </si>
  <si>
    <r>
      <t xml:space="preserve">Stock price ( </t>
    </r>
    <r>
      <rPr>
        <sz val="10"/>
        <rFont val="Geneva"/>
        <family val="2"/>
      </rPr>
      <t>S</t>
    </r>
    <r>
      <rPr>
        <b/>
        <sz val="10"/>
        <rFont val="Geneva"/>
        <family val="2"/>
      </rPr>
      <t xml:space="preserve"> )</t>
    </r>
  </si>
  <si>
    <t>Option Value</t>
  </si>
  <si>
    <t>Black-Scholes 1973</t>
    <phoneticPr fontId="6" type="noConversion"/>
  </si>
  <si>
    <t>c or p</t>
    <phoneticPr fontId="6" type="noConversion"/>
  </si>
  <si>
    <t>c</t>
    <phoneticPr fontId="6" type="noConversion"/>
  </si>
  <si>
    <t>Dividend rate(q)</t>
    <phoneticPr fontId="6" type="noConversion"/>
  </si>
  <si>
    <t xml:space="preserve"> 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</si>
</sst>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0"/>
    <numFmt numFmtId="177" formatCode="_(* #,##0.00_);_(* \(#,##0.00\);_(* &quot;-&quot;??_);_(@_)"/>
    <numFmt numFmtId="181" formatCode="#,##0.0000"/>
    <numFmt numFmtId="183" formatCode="0.00000"/>
    <numFmt numFmtId="184" formatCode="#,##0.000000000"/>
    <numFmt numFmtId="185" formatCode="#,##0.000000000_ "/>
    <numFmt numFmtId="186" formatCode="0.0000000000"/>
  </numFmts>
  <fonts count="14">
    <font>
      <sz val="11"/>
      <color theme="1"/>
      <name val="宋体"/>
      <family val="2"/>
      <scheme val="minor"/>
    </font>
    <font>
      <sz val="9"/>
      <name val="Geneva"/>
      <family val="2"/>
    </font>
    <font>
      <b/>
      <sz val="14"/>
      <name val="Geneva"/>
      <family val="2"/>
    </font>
    <font>
      <sz val="10"/>
      <name val="Geneva"/>
      <family val="2"/>
    </font>
    <font>
      <b/>
      <sz val="12"/>
      <name val="Geneva"/>
      <family val="2"/>
    </font>
    <font>
      <b/>
      <sz val="10"/>
      <name val="Geneva"/>
      <family val="2"/>
    </font>
    <font>
      <sz val="9"/>
      <name val="宋体"/>
      <family val="3"/>
      <charset val="134"/>
    </font>
    <font>
      <sz val="10"/>
      <name val="Symbol"/>
      <family val="1"/>
      <charset val="2"/>
    </font>
    <font>
      <b/>
      <sz val="10"/>
      <color rgb="FFFF0000"/>
      <name val="Geneva"/>
      <family val="2"/>
    </font>
    <font>
      <b/>
      <sz val="10"/>
      <color rgb="FF0000FF"/>
      <name val="Geneva"/>
      <family val="2"/>
    </font>
    <font>
      <b/>
      <sz val="18"/>
      <color rgb="FF333399"/>
      <name val="Geneva"/>
      <family val="2"/>
    </font>
    <font>
      <b/>
      <sz val="10"/>
      <color rgb="FF333399"/>
      <name val="Geneva"/>
      <family val="2"/>
    </font>
    <font>
      <b/>
      <sz val="10"/>
      <color rgb="FF000000"/>
      <name val="Geneva"/>
      <family val="2"/>
    </font>
    <font>
      <b/>
      <sz val="10"/>
      <color rgb="FF800000"/>
      <name val="Geneva"/>
      <family val="2"/>
    </font>
  </fonts>
  <fills count="3">
    <fill>
      <patternFill patternType="none"/>
    </fill>
    <fill>
      <patternFill patternType="gray125"/>
    </fill>
    <fill>
      <patternFill patternType="solid">
        <fgColor rgb="FFC0C0C0"/>
        <bgColor rgb="FF000000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3" fillId="0" borderId="0"/>
    <xf numFmtId="9" fontId="1" fillId="0" borderId="0" applyFont="0" applyFill="0" applyBorder="0" applyAlignment="0" applyProtection="0"/>
    <xf numFmtId="177" fontId="1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1" applyFont="1" applyFill="1" applyBorder="1"/>
    <xf numFmtId="0" fontId="4" fillId="0" borderId="0" xfId="2" applyFont="1" applyFill="1" applyBorder="1"/>
    <xf numFmtId="0" fontId="3" fillId="0" borderId="0" xfId="2" applyFont="1" applyFill="1" applyBorder="1"/>
    <xf numFmtId="0" fontId="5" fillId="0" borderId="0" xfId="2" applyFont="1" applyFill="1" applyBorder="1"/>
    <xf numFmtId="0" fontId="3" fillId="0" borderId="0" xfId="1" applyFont="1" applyFill="1" applyBorder="1"/>
    <xf numFmtId="0" fontId="8" fillId="0" borderId="0" xfId="2" applyFont="1" applyFill="1" applyBorder="1"/>
    <xf numFmtId="10" fontId="3" fillId="0" borderId="0" xfId="3" applyNumberFormat="1" applyFont="1" applyFill="1" applyBorder="1"/>
    <xf numFmtId="0" fontId="10" fillId="0" borderId="0" xfId="2" applyFont="1" applyFill="1" applyBorder="1"/>
    <xf numFmtId="0" fontId="1" fillId="0" borderId="0" xfId="1" applyFont="1" applyFill="1" applyBorder="1"/>
    <xf numFmtId="0" fontId="5" fillId="0" borderId="0" xfId="2" applyFont="1" applyFill="1" applyBorder="1" applyAlignment="1">
      <alignment horizontal="right"/>
    </xf>
    <xf numFmtId="0" fontId="5" fillId="0" borderId="1" xfId="2" applyFont="1" applyFill="1" applyBorder="1" applyAlignment="1">
      <alignment horizontal="left"/>
    </xf>
    <xf numFmtId="0" fontId="5" fillId="0" borderId="7" xfId="2" applyFont="1" applyFill="1" applyBorder="1" applyAlignment="1">
      <alignment horizontal="centerContinuous"/>
    </xf>
    <xf numFmtId="0" fontId="3" fillId="0" borderId="8" xfId="2" applyFont="1" applyFill="1" applyBorder="1" applyAlignment="1">
      <alignment horizontal="centerContinuous"/>
    </xf>
    <xf numFmtId="0" fontId="5" fillId="0" borderId="9" xfId="2" applyFont="1" applyFill="1" applyBorder="1" applyAlignment="1">
      <alignment horizontal="centerContinuous"/>
    </xf>
    <xf numFmtId="0" fontId="3" fillId="0" borderId="10" xfId="2" applyFont="1" applyFill="1" applyBorder="1" applyAlignment="1">
      <alignment horizontal="centerContinuous"/>
    </xf>
    <xf numFmtId="0" fontId="5" fillId="0" borderId="4" xfId="2" applyFont="1" applyFill="1" applyBorder="1" applyAlignment="1">
      <alignment horizontal="left"/>
    </xf>
    <xf numFmtId="0" fontId="5" fillId="0" borderId="11" xfId="2" applyFont="1" applyFill="1" applyBorder="1" applyAlignment="1">
      <alignment horizontal="right"/>
    </xf>
    <xf numFmtId="0" fontId="11" fillId="0" borderId="2" xfId="2" applyFont="1" applyFill="1" applyBorder="1"/>
    <xf numFmtId="0" fontId="5" fillId="0" borderId="1" xfId="2" applyFont="1" applyFill="1" applyBorder="1" applyAlignment="1">
      <alignment horizontal="right"/>
    </xf>
    <xf numFmtId="0" fontId="11" fillId="0" borderId="12" xfId="2" applyFont="1" applyFill="1" applyBorder="1"/>
    <xf numFmtId="0" fontId="5" fillId="0" borderId="14" xfId="2" applyFont="1" applyFill="1" applyBorder="1" applyAlignment="1">
      <alignment horizontal="right"/>
    </xf>
    <xf numFmtId="0" fontId="11" fillId="0" borderId="15" xfId="2" applyFont="1" applyFill="1" applyBorder="1"/>
    <xf numFmtId="0" fontId="5" fillId="0" borderId="16" xfId="2" applyFont="1" applyFill="1" applyBorder="1" applyAlignment="1">
      <alignment horizontal="right"/>
    </xf>
    <xf numFmtId="0" fontId="11" fillId="0" borderId="17" xfId="2" applyFont="1" applyFill="1" applyBorder="1"/>
    <xf numFmtId="176" fontId="3" fillId="0" borderId="0" xfId="2" applyNumberFormat="1" applyFont="1" applyFill="1" applyBorder="1"/>
    <xf numFmtId="0" fontId="12" fillId="2" borderId="6" xfId="2" applyFont="1" applyFill="1" applyBorder="1"/>
    <xf numFmtId="9" fontId="5" fillId="0" borderId="0" xfId="2" applyNumberFormat="1" applyFont="1" applyFill="1" applyBorder="1"/>
    <xf numFmtId="0" fontId="3" fillId="0" borderId="7" xfId="2" applyFont="1" applyFill="1" applyBorder="1"/>
    <xf numFmtId="177" fontId="5" fillId="0" borderId="8" xfId="4" applyFont="1" applyFill="1" applyBorder="1"/>
    <xf numFmtId="177" fontId="3" fillId="0" borderId="8" xfId="2" applyNumberFormat="1" applyFont="1" applyFill="1" applyBorder="1"/>
    <xf numFmtId="0" fontId="3" fillId="0" borderId="8" xfId="2" applyFont="1" applyFill="1" applyBorder="1"/>
    <xf numFmtId="0" fontId="3" fillId="0" borderId="10" xfId="2" applyFont="1" applyFill="1" applyBorder="1"/>
    <xf numFmtId="0" fontId="5" fillId="0" borderId="18" xfId="2" applyFont="1" applyFill="1" applyBorder="1" applyAlignment="1">
      <alignment horizontal="center"/>
    </xf>
    <xf numFmtId="2" fontId="3" fillId="0" borderId="0" xfId="2" applyNumberFormat="1" applyFont="1" applyFill="1" applyBorder="1"/>
    <xf numFmtId="2" fontId="3" fillId="0" borderId="19" xfId="2" applyNumberFormat="1" applyFont="1" applyFill="1" applyBorder="1"/>
    <xf numFmtId="2" fontId="3" fillId="0" borderId="18" xfId="2" applyNumberFormat="1" applyFont="1" applyFill="1" applyBorder="1" applyAlignment="1">
      <alignment horizontal="right"/>
    </xf>
    <xf numFmtId="3" fontId="3" fillId="0" borderId="0" xfId="2" applyNumberFormat="1" applyFont="1" applyFill="1" applyBorder="1"/>
    <xf numFmtId="2" fontId="3" fillId="0" borderId="14" xfId="2" applyNumberFormat="1" applyFont="1" applyFill="1" applyBorder="1" applyAlignment="1">
      <alignment horizontal="right"/>
    </xf>
    <xf numFmtId="9" fontId="8" fillId="0" borderId="0" xfId="2" applyNumberFormat="1" applyFont="1" applyFill="1" applyBorder="1"/>
    <xf numFmtId="183" fontId="3" fillId="0" borderId="0" xfId="2" applyNumberFormat="1" applyFont="1" applyFill="1" applyBorder="1"/>
    <xf numFmtId="4" fontId="9" fillId="0" borderId="3" xfId="4" applyNumberFormat="1" applyFont="1" applyFill="1" applyBorder="1"/>
    <xf numFmtId="4" fontId="9" fillId="0" borderId="5" xfId="2" applyNumberFormat="1" applyFont="1" applyFill="1" applyBorder="1"/>
    <xf numFmtId="0" fontId="9" fillId="0" borderId="5" xfId="2" applyNumberFormat="1" applyFont="1" applyFill="1" applyBorder="1"/>
    <xf numFmtId="10" fontId="9" fillId="0" borderId="5" xfId="2" applyNumberFormat="1" applyFont="1" applyFill="1" applyBorder="1"/>
    <xf numFmtId="184" fontId="8" fillId="2" borderId="13" xfId="2" applyNumberFormat="1" applyFont="1" applyFill="1" applyBorder="1"/>
    <xf numFmtId="181" fontId="13" fillId="2" borderId="0" xfId="2" applyNumberFormat="1" applyFont="1" applyFill="1" applyBorder="1"/>
    <xf numFmtId="185" fontId="3" fillId="0" borderId="0" xfId="2" applyNumberFormat="1" applyFont="1" applyFill="1" applyBorder="1" applyAlignment="1">
      <alignment horizontal="right"/>
    </xf>
    <xf numFmtId="0" fontId="3" fillId="0" borderId="0" xfId="2" applyFont="1" applyFill="1" applyBorder="1" applyAlignment="1">
      <alignment horizontal="right"/>
    </xf>
    <xf numFmtId="186" fontId="3" fillId="0" borderId="0" xfId="2" applyNumberFormat="1" applyFont="1" applyFill="1" applyBorder="1"/>
    <xf numFmtId="10" fontId="9" fillId="0" borderId="5" xfId="2" applyNumberFormat="1" applyFont="1" applyFill="1" applyBorder="1" applyAlignment="1">
      <alignment horizontal="right" vertical="center"/>
    </xf>
  </cellXfs>
  <cellStyles count="5">
    <cellStyle name="Normal_ANALY.XLS" xfId="2"/>
    <cellStyle name="百分比 2" xfId="3"/>
    <cellStyle name="常规" xfId="0" builtinId="0"/>
    <cellStyle name="常规 2" xfId="1"/>
    <cellStyle name="千位分隔 3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view3D>
      <c:rotX val="25"/>
      <c:hPercent val="100"/>
      <c:rotY val="280"/>
      <c:depthPercent val="100"/>
      <c:rAngAx val="0"/>
    </c:view3D>
    <c:floor>
      <c:thickness val="0"/>
      <c:spPr>
        <a:noFill/>
        <a:ln w="3175">
          <a:solidFill>
            <a:srgbClr val="000000"/>
          </a:solidFill>
          <a:prstDash val="solid"/>
        </a:ln>
      </c:spPr>
    </c:floor>
    <c:sideWall>
      <c:thickness val="0"/>
      <c:spPr>
        <a:noFill/>
        <a:ln w="12700">
          <a:solidFill>
            <a:srgbClr val="808080"/>
          </a:solidFill>
          <a:prstDash val="solid"/>
        </a:ln>
      </c:spPr>
    </c:sideWall>
    <c:backWall>
      <c:thickness val="0"/>
      <c:spPr>
        <a:noFill/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0603293042682441"/>
          <c:y val="9.5087236813494232E-3"/>
          <c:w val="0.71846451134037914"/>
          <c:h val="0.88114172780504652"/>
        </c:manualLayout>
      </c:layout>
      <c:surface3DChart>
        <c:wireframe val="0"/>
        <c:ser>
          <c:idx val="0"/>
          <c:order val="0"/>
          <c:tx>
            <c:strRef>
              <c:f>[1]StandardBarrier!$L$29</c:f>
              <c:strCache>
                <c:ptCount val="1"/>
                <c:pt idx="0">
                  <c:v>150.00</c:v>
                </c:pt>
              </c:strCache>
            </c:strRef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[1]StandardBarrier!$M$29:$AB$29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strRef>
              <c:f>[1]StandardBarrier!$L$30</c:f>
              <c:strCache>
                <c:ptCount val="1"/>
                <c:pt idx="0">
                  <c:v>145.00</c:v>
                </c:pt>
              </c:strCache>
            </c:strRef>
          </c:tx>
          <c:spPr>
            <a:solidFill>
              <a:srgbClr val="DD2D3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[1]StandardBarrier!$M$30:$AB$30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"/>
          <c:order val="2"/>
          <c:tx>
            <c:strRef>
              <c:f>[1]StandardBarrier!$L$31</c:f>
              <c:strCache>
                <c:ptCount val="1"/>
                <c:pt idx="0">
                  <c:v>140.00</c:v>
                </c:pt>
              </c:strCache>
            </c:strRef>
          </c:tx>
          <c:spPr>
            <a:solidFill>
              <a:srgbClr val="FFF58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[1]StandardBarrier!$M$31:$AB$31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3"/>
          <c:tx>
            <c:strRef>
              <c:f>[1]StandardBarrier!$L$32</c:f>
              <c:strCache>
                <c:ptCount val="1"/>
                <c:pt idx="0">
                  <c:v>135.00</c:v>
                </c:pt>
              </c:strCache>
            </c:strRef>
          </c:tx>
          <c:spPr>
            <a:solidFill>
              <a:srgbClr val="4EE25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[1]StandardBarrier!$M$32:$AB$32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strRef>
              <c:f>[1]StandardBarrier!$L$33</c:f>
              <c:strCache>
                <c:ptCount val="1"/>
                <c:pt idx="0">
                  <c:v>130.00</c:v>
                </c:pt>
              </c:strCache>
            </c:strRef>
          </c:tx>
          <c:spPr>
            <a:solidFill>
              <a:srgbClr val="6711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[1]StandardBarrier!$M$33:$AB$33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strRef>
              <c:f>[1]StandardBarrier!$L$34</c:f>
              <c:strCache>
                <c:ptCount val="1"/>
                <c:pt idx="0">
                  <c:v>125.00</c:v>
                </c:pt>
              </c:strCache>
            </c:strRef>
          </c:tx>
          <c:spPr>
            <a:solidFill>
              <a:srgbClr val="FEA74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[1]StandardBarrier!$M$34:$AB$34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6"/>
          <c:order val="6"/>
          <c:tx>
            <c:strRef>
              <c:f>[1]StandardBarrier!$L$35</c:f>
              <c:strCache>
                <c:ptCount val="1"/>
                <c:pt idx="0">
                  <c:v>120.00</c:v>
                </c:pt>
              </c:strCache>
            </c:strRef>
          </c:tx>
          <c:spPr>
            <a:solidFill>
              <a:srgbClr val="86535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[1]StandardBarrier!$M$35:$AB$35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7"/>
          <c:order val="7"/>
          <c:tx>
            <c:strRef>
              <c:f>[1]StandardBarrier!$L$36</c:f>
              <c:strCache>
                <c:ptCount val="1"/>
                <c:pt idx="0">
                  <c:v>115.00</c:v>
                </c:pt>
              </c:strCache>
            </c:strRef>
          </c:tx>
          <c:spPr>
            <a:solidFill>
              <a:srgbClr val="A2BD9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[1]StandardBarrier!$M$36:$AB$36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8"/>
          <c:order val="8"/>
          <c:tx>
            <c:strRef>
              <c:f>[1]StandardBarrier!$L$37</c:f>
              <c:strCache>
                <c:ptCount val="1"/>
                <c:pt idx="0">
                  <c:v>110.00</c:v>
                </c:pt>
              </c:strCache>
            </c:strRef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[1]StandardBarrier!$M$37:$AB$37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9"/>
          <c:order val="9"/>
          <c:tx>
            <c:strRef>
              <c:f>[1]StandardBarrier!$L$38</c:f>
              <c:strCache>
                <c:ptCount val="1"/>
                <c:pt idx="0">
                  <c:v>105.00</c:v>
                </c:pt>
              </c:strCache>
            </c:strRef>
          </c:tx>
          <c:spPr>
            <a:solidFill>
              <a:srgbClr val="DD2D3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[1]StandardBarrier!$M$38:$AB$38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0"/>
          <c:order val="10"/>
          <c:tx>
            <c:strRef>
              <c:f>[1]StandardBarrier!$L$39</c:f>
              <c:strCache>
                <c:ptCount val="1"/>
                <c:pt idx="0">
                  <c:v>100.00</c:v>
                </c:pt>
              </c:strCache>
            </c:strRef>
          </c:tx>
          <c:spPr>
            <a:solidFill>
              <a:srgbClr val="FFF58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[1]StandardBarrier!$M$39:$AB$39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1"/>
          <c:order val="11"/>
          <c:tx>
            <c:strRef>
              <c:f>[1]StandardBarrier!$L$40</c:f>
              <c:strCache>
                <c:ptCount val="1"/>
                <c:pt idx="0">
                  <c:v>95.00</c:v>
                </c:pt>
              </c:strCache>
            </c:strRef>
          </c:tx>
          <c:spPr>
            <a:solidFill>
              <a:srgbClr val="4EE25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[1]StandardBarrier!$M$40:$AB$40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2"/>
          <c:order val="12"/>
          <c:tx>
            <c:strRef>
              <c:f>[1]StandardBarrier!$L$41</c:f>
              <c:strCache>
                <c:ptCount val="1"/>
                <c:pt idx="0">
                  <c:v>90.00</c:v>
                </c:pt>
              </c:strCache>
            </c:strRef>
          </c:tx>
          <c:spPr>
            <a:solidFill>
              <a:srgbClr val="6711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[1]StandardBarrier!$M$41:$AB$41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3"/>
          <c:order val="13"/>
          <c:tx>
            <c:strRef>
              <c:f>[1]StandardBarrier!$L$42</c:f>
              <c:strCache>
                <c:ptCount val="1"/>
                <c:pt idx="0">
                  <c:v>85.00</c:v>
                </c:pt>
              </c:strCache>
            </c:strRef>
          </c:tx>
          <c:spPr>
            <a:solidFill>
              <a:srgbClr val="FEA74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[1]StandardBarrier!$M$42:$AB$42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4"/>
          <c:order val="14"/>
          <c:tx>
            <c:strRef>
              <c:f>[1]StandardBarrier!$L$43</c:f>
              <c:strCache>
                <c:ptCount val="1"/>
                <c:pt idx="0">
                  <c:v>80.00</c:v>
                </c:pt>
              </c:strCache>
            </c:strRef>
          </c:tx>
          <c:spPr>
            <a:solidFill>
              <a:srgbClr val="86535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[1]StandardBarrier!$M$43:$AB$43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5"/>
          <c:order val="15"/>
          <c:tx>
            <c:strRef>
              <c:f>[1]StandardBarrier!$L$44</c:f>
              <c:strCache>
                <c:ptCount val="1"/>
                <c:pt idx="0">
                  <c:v>75.00</c:v>
                </c:pt>
              </c:strCache>
            </c:strRef>
          </c:tx>
          <c:spPr>
            <a:solidFill>
              <a:srgbClr val="A2BD9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[1]StandardBarrier!$M$44:$AB$44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6"/>
          <c:order val="16"/>
          <c:tx>
            <c:strRef>
              <c:f>[1]StandardBarrier!$L$45</c:f>
              <c:strCache>
                <c:ptCount val="1"/>
                <c:pt idx="0">
                  <c:v>70.00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[1]StandardBarrier!$M$45:$AB$45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7"/>
          <c:order val="17"/>
          <c:tx>
            <c:strRef>
              <c:f>[1]StandardBarrier!$L$46</c:f>
              <c:strCache>
                <c:ptCount val="1"/>
                <c:pt idx="0">
                  <c:v>65.00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[1]StandardBarrier!$M$46:$AB$46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8"/>
          <c:order val="18"/>
          <c:tx>
            <c:strRef>
              <c:f>[1]StandardBarrier!$L$47</c:f>
              <c:strCache>
                <c:ptCount val="1"/>
                <c:pt idx="0">
                  <c:v>60.00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[1]StandardBarrier!$M$47:$AB$47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9"/>
          <c:order val="19"/>
          <c:tx>
            <c:strRef>
              <c:f>[1]StandardBarrier!$L$48</c:f>
              <c:strCache>
                <c:ptCount val="1"/>
                <c:pt idx="0">
                  <c:v>55.00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[1]StandardBarrier!$M$48:$AB$48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0"/>
          <c:order val="20"/>
          <c:tx>
            <c:strRef>
              <c:f>[1]StandardBarrier!$L$49</c:f>
              <c:strCache>
                <c:ptCount val="1"/>
                <c:pt idx="0">
                  <c:v>50.00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[1]StandardBarrier!$M$28:$AB$28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[1]StandardBarrier!$M$49:$AB$49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bandFmts>
          <c:bandFmt>
            <c:idx val="0"/>
            <c:spPr>
              <a:solidFill>
                <a:srgbClr val="63AAFE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DD2D32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58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4EE257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711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63AAFE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-1482509088"/>
        <c:axId val="-1482519968"/>
        <c:axId val="-1327741120"/>
      </c:surface3DChart>
      <c:catAx>
        <c:axId val="-148250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en-US" altLang="zh-CN"/>
                  <a:t>Time to maturity</a:t>
                </a:r>
              </a:p>
            </c:rich>
          </c:tx>
          <c:layout>
            <c:manualLayout>
              <c:xMode val="edge"/>
              <c:yMode val="edge"/>
              <c:x val="0.80663923182441699"/>
              <c:y val="0.6323299464867505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zh-CN"/>
          </a:p>
        </c:txPr>
        <c:crossAx val="-148251996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-14825199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zh-CN"/>
          </a:p>
        </c:txPr>
        <c:crossAx val="-1482509088"/>
        <c:crosses val="autoZero"/>
        <c:crossBetween val="between"/>
      </c:valAx>
      <c:serAx>
        <c:axId val="-132774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en-US" altLang="zh-CN"/>
                  <a:t>Asset price</a:t>
                </a:r>
              </a:p>
            </c:rich>
          </c:tx>
          <c:layout>
            <c:manualLayout>
              <c:xMode val="edge"/>
              <c:yMode val="edge"/>
              <c:x val="0.34003650778220623"/>
              <c:y val="0.819334975766066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zh-CN"/>
          </a:p>
        </c:txPr>
        <c:crossAx val="-1482519968"/>
        <c:crosses val="autoZero"/>
        <c:tickLblSkip val="3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view3D>
      <c:rotX val="15"/>
      <c:hPercent val="100"/>
      <c:rotY val="290"/>
      <c:depthPercent val="100"/>
      <c:rAngAx val="0"/>
    </c:view3D>
    <c:floor>
      <c:thickness val="0"/>
      <c:spPr>
        <a:noFill/>
        <a:ln w="3175">
          <a:solidFill>
            <a:srgbClr val="000000"/>
          </a:solidFill>
          <a:prstDash val="solid"/>
        </a:ln>
      </c:spPr>
    </c:floor>
    <c:sideWall>
      <c:thickness val="0"/>
      <c:spPr>
        <a:noFill/>
        <a:ln w="12700">
          <a:solidFill>
            <a:srgbClr val="808080"/>
          </a:solidFill>
          <a:prstDash val="solid"/>
        </a:ln>
      </c:spPr>
    </c:sideWall>
    <c:backWall>
      <c:thickness val="0"/>
      <c:spPr>
        <a:noFill/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0237662248107185"/>
          <c:y val="1.250001668932282E-2"/>
          <c:w val="0.71298004942175042"/>
          <c:h val="0.89843869954507771"/>
        </c:manualLayout>
      </c:layout>
      <c:surface3DChart>
        <c:wireframe val="0"/>
        <c:ser>
          <c:idx val="0"/>
          <c:order val="0"/>
          <c:tx>
            <c:strRef>
              <c:f>[1]BlackScholes!$L$28</c:f>
              <c:strCache>
                <c:ptCount val="1"/>
                <c:pt idx="0">
                  <c:v>154.50</c:v>
                </c:pt>
              </c:strCache>
            </c:strRef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[1]BlackScholes!$M$28:$AB$28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strRef>
              <c:f>[1]BlackScholes!$L$29</c:f>
              <c:strCache>
                <c:ptCount val="1"/>
                <c:pt idx="0">
                  <c:v>149.35</c:v>
                </c:pt>
              </c:strCache>
            </c:strRef>
          </c:tx>
          <c:spPr>
            <a:solidFill>
              <a:srgbClr val="DD2D3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[1]BlackScholes!$M$29:$AB$29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"/>
          <c:order val="2"/>
          <c:tx>
            <c:strRef>
              <c:f>[1]BlackScholes!$L$30</c:f>
              <c:strCache>
                <c:ptCount val="1"/>
                <c:pt idx="0">
                  <c:v>144.20</c:v>
                </c:pt>
              </c:strCache>
            </c:strRef>
          </c:tx>
          <c:spPr>
            <a:solidFill>
              <a:srgbClr val="FFF58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[1]BlackScholes!$M$30:$AB$30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3"/>
          <c:tx>
            <c:strRef>
              <c:f>[1]BlackScholes!$L$31</c:f>
              <c:strCache>
                <c:ptCount val="1"/>
                <c:pt idx="0">
                  <c:v>139.05</c:v>
                </c:pt>
              </c:strCache>
            </c:strRef>
          </c:tx>
          <c:spPr>
            <a:solidFill>
              <a:srgbClr val="4EE25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[1]BlackScholes!$M$31:$AB$31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strRef>
              <c:f>[1]BlackScholes!$L$32</c:f>
              <c:strCache>
                <c:ptCount val="1"/>
                <c:pt idx="0">
                  <c:v>133.90</c:v>
                </c:pt>
              </c:strCache>
            </c:strRef>
          </c:tx>
          <c:spPr>
            <a:solidFill>
              <a:srgbClr val="6711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[1]BlackScholes!$M$32:$AB$32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strRef>
              <c:f>[1]BlackScholes!$L$33</c:f>
              <c:strCache>
                <c:ptCount val="1"/>
                <c:pt idx="0">
                  <c:v>128.75</c:v>
                </c:pt>
              </c:strCache>
            </c:strRef>
          </c:tx>
          <c:spPr>
            <a:solidFill>
              <a:srgbClr val="FEA74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[1]BlackScholes!$M$33:$AB$33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6"/>
          <c:order val="6"/>
          <c:tx>
            <c:strRef>
              <c:f>[1]BlackScholes!$L$34</c:f>
              <c:strCache>
                <c:ptCount val="1"/>
                <c:pt idx="0">
                  <c:v>123.60</c:v>
                </c:pt>
              </c:strCache>
            </c:strRef>
          </c:tx>
          <c:spPr>
            <a:solidFill>
              <a:srgbClr val="86535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[1]BlackScholes!$M$34:$AB$34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7"/>
          <c:order val="7"/>
          <c:tx>
            <c:strRef>
              <c:f>[1]BlackScholes!$L$35</c:f>
              <c:strCache>
                <c:ptCount val="1"/>
                <c:pt idx="0">
                  <c:v>118.45</c:v>
                </c:pt>
              </c:strCache>
            </c:strRef>
          </c:tx>
          <c:spPr>
            <a:solidFill>
              <a:srgbClr val="A2BD9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[1]BlackScholes!$M$35:$AB$35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8"/>
          <c:order val="8"/>
          <c:tx>
            <c:strRef>
              <c:f>[1]BlackScholes!$L$36</c:f>
              <c:strCache>
                <c:ptCount val="1"/>
                <c:pt idx="0">
                  <c:v>113.30</c:v>
                </c:pt>
              </c:strCache>
            </c:strRef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[1]BlackScholes!$M$36:$AB$36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9"/>
          <c:order val="9"/>
          <c:tx>
            <c:strRef>
              <c:f>[1]BlackScholes!$L$37</c:f>
              <c:strCache>
                <c:ptCount val="1"/>
                <c:pt idx="0">
                  <c:v>108.15</c:v>
                </c:pt>
              </c:strCache>
            </c:strRef>
          </c:tx>
          <c:spPr>
            <a:solidFill>
              <a:srgbClr val="DD2D3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[1]BlackScholes!$M$37:$AB$37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0"/>
          <c:order val="10"/>
          <c:tx>
            <c:strRef>
              <c:f>[1]BlackScholes!$L$38</c:f>
              <c:strCache>
                <c:ptCount val="1"/>
                <c:pt idx="0">
                  <c:v>103.00</c:v>
                </c:pt>
              </c:strCache>
            </c:strRef>
          </c:tx>
          <c:spPr>
            <a:solidFill>
              <a:srgbClr val="FFF58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[1]BlackScholes!$M$38:$AB$38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1"/>
          <c:order val="11"/>
          <c:tx>
            <c:strRef>
              <c:f>[1]BlackScholes!$L$39</c:f>
              <c:strCache>
                <c:ptCount val="1"/>
                <c:pt idx="0">
                  <c:v>97.85</c:v>
                </c:pt>
              </c:strCache>
            </c:strRef>
          </c:tx>
          <c:spPr>
            <a:solidFill>
              <a:srgbClr val="4EE25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[1]BlackScholes!$M$39:$AB$39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2"/>
          <c:order val="12"/>
          <c:tx>
            <c:strRef>
              <c:f>[1]BlackScholes!$L$40</c:f>
              <c:strCache>
                <c:ptCount val="1"/>
                <c:pt idx="0">
                  <c:v>92.70</c:v>
                </c:pt>
              </c:strCache>
            </c:strRef>
          </c:tx>
          <c:spPr>
            <a:solidFill>
              <a:srgbClr val="6711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[1]BlackScholes!$M$40:$AB$40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3"/>
          <c:order val="13"/>
          <c:tx>
            <c:strRef>
              <c:f>[1]BlackScholes!$L$41</c:f>
              <c:strCache>
                <c:ptCount val="1"/>
                <c:pt idx="0">
                  <c:v>87.55</c:v>
                </c:pt>
              </c:strCache>
            </c:strRef>
          </c:tx>
          <c:spPr>
            <a:solidFill>
              <a:srgbClr val="FEA74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[1]BlackScholes!$M$41:$AB$41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4"/>
          <c:order val="14"/>
          <c:tx>
            <c:strRef>
              <c:f>[1]BlackScholes!$L$42</c:f>
              <c:strCache>
                <c:ptCount val="1"/>
                <c:pt idx="0">
                  <c:v>82.40</c:v>
                </c:pt>
              </c:strCache>
            </c:strRef>
          </c:tx>
          <c:spPr>
            <a:solidFill>
              <a:srgbClr val="86535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[1]BlackScholes!$M$42:$AB$42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5"/>
          <c:order val="15"/>
          <c:tx>
            <c:strRef>
              <c:f>[1]BlackScholes!$L$43</c:f>
              <c:strCache>
                <c:ptCount val="1"/>
                <c:pt idx="0">
                  <c:v>77.25</c:v>
                </c:pt>
              </c:strCache>
            </c:strRef>
          </c:tx>
          <c:spPr>
            <a:solidFill>
              <a:srgbClr val="A2BD9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[1]BlackScholes!$M$43:$AB$43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6"/>
          <c:order val="16"/>
          <c:tx>
            <c:strRef>
              <c:f>[1]BlackScholes!$L$44</c:f>
              <c:strCache>
                <c:ptCount val="1"/>
                <c:pt idx="0">
                  <c:v>72.10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[1]BlackScholes!$M$44:$AB$44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7"/>
          <c:order val="17"/>
          <c:tx>
            <c:strRef>
              <c:f>[1]BlackScholes!$L$45</c:f>
              <c:strCache>
                <c:ptCount val="1"/>
                <c:pt idx="0">
                  <c:v>66.95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[1]BlackScholes!$M$45:$AB$45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8"/>
          <c:order val="18"/>
          <c:tx>
            <c:strRef>
              <c:f>[1]BlackScholes!$L$46</c:f>
              <c:strCache>
                <c:ptCount val="1"/>
                <c:pt idx="0">
                  <c:v>61.80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[1]BlackScholes!$M$46:$AB$46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9"/>
          <c:order val="19"/>
          <c:tx>
            <c:strRef>
              <c:f>[1]BlackScholes!$L$47</c:f>
              <c:strCache>
                <c:ptCount val="1"/>
                <c:pt idx="0">
                  <c:v>56.65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[1]BlackScholes!$M$47:$AB$47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0"/>
          <c:order val="20"/>
          <c:tx>
            <c:strRef>
              <c:f>[1]BlackScholes!$L$48</c:f>
              <c:strCache>
                <c:ptCount val="1"/>
                <c:pt idx="0">
                  <c:v>51.50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[1]BlackScholes!$M$27:$AB$27</c:f>
              <c:numCache>
                <c:formatCode>0.00</c:formatCode>
                <c:ptCount val="16"/>
                <c:pt idx="0">
                  <c:v>10</c:v>
                </c:pt>
                <c:pt idx="1">
                  <c:v>30.882352941176471</c:v>
                </c:pt>
                <c:pt idx="2">
                  <c:v>51.764705882352942</c:v>
                </c:pt>
                <c:pt idx="3">
                  <c:v>72.64705882352942</c:v>
                </c:pt>
                <c:pt idx="4">
                  <c:v>93.529411764705884</c:v>
                </c:pt>
                <c:pt idx="5">
                  <c:v>114.41176470588235</c:v>
                </c:pt>
                <c:pt idx="6">
                  <c:v>135.29411764705881</c:v>
                </c:pt>
                <c:pt idx="7">
                  <c:v>156.17647058823528</c:v>
                </c:pt>
                <c:pt idx="8">
                  <c:v>177.05882352941174</c:v>
                </c:pt>
                <c:pt idx="9">
                  <c:v>197.9411764705882</c:v>
                </c:pt>
                <c:pt idx="10">
                  <c:v>218.82352941176467</c:v>
                </c:pt>
                <c:pt idx="11">
                  <c:v>239.70588235294113</c:v>
                </c:pt>
                <c:pt idx="12">
                  <c:v>260.58823529411762</c:v>
                </c:pt>
                <c:pt idx="13">
                  <c:v>281.47058823529409</c:v>
                </c:pt>
                <c:pt idx="14">
                  <c:v>302.35294117647055</c:v>
                </c:pt>
                <c:pt idx="15">
                  <c:v>323.23529411764702</c:v>
                </c:pt>
              </c:numCache>
            </c:numRef>
          </c:cat>
          <c:val>
            <c:numRef>
              <c:f>[1]BlackScholes!$M$48:$AB$48</c:f>
              <c:numCache>
                <c:formatCode>#,##0.0000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bandFmts>
          <c:bandFmt>
            <c:idx val="0"/>
            <c:spPr>
              <a:solidFill>
                <a:srgbClr val="63AAFE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DD2D32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58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4EE257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711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EA74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63AAFE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63AAFE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63AAFE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63AAFE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-1324605808"/>
        <c:axId val="-1324606896"/>
        <c:axId val="-1327744864"/>
      </c:surface3DChart>
      <c:catAx>
        <c:axId val="-1324605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en-US" altLang="zh-CN"/>
                  <a:t>Time to maturity</a:t>
                </a:r>
              </a:p>
            </c:rich>
          </c:tx>
          <c:layout>
            <c:manualLayout>
              <c:xMode val="edge"/>
              <c:yMode val="edge"/>
              <c:x val="0.80663923182441699"/>
              <c:y val="0.6421882806817822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zh-CN"/>
          </a:p>
        </c:txPr>
        <c:crossAx val="-1324606896"/>
        <c:crosses val="autoZero"/>
        <c:auto val="1"/>
        <c:lblAlgn val="ctr"/>
        <c:lblOffset val="100"/>
        <c:tickLblSkip val="5"/>
        <c:tickMarkSkip val="1"/>
        <c:noMultiLvlLbl val="1"/>
      </c:catAx>
      <c:valAx>
        <c:axId val="-132460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zh-CN"/>
          </a:p>
        </c:txPr>
        <c:crossAx val="-1324605808"/>
        <c:crosses val="autoZero"/>
        <c:crossBetween val="between"/>
      </c:valAx>
      <c:serAx>
        <c:axId val="-1327744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en-US" altLang="zh-CN"/>
                  <a:t>Asset price</a:t>
                </a:r>
              </a:p>
            </c:rich>
          </c:tx>
          <c:layout>
            <c:manualLayout>
              <c:xMode val="edge"/>
              <c:yMode val="edge"/>
              <c:x val="0.21389391140922201"/>
              <c:y val="0.7656260738492025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zh-CN"/>
          </a:p>
        </c:txPr>
        <c:crossAx val="-1324606896"/>
        <c:crosses val="autoZero"/>
        <c:tickLblSkip val="3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7</xdr:row>
      <xdr:rowOff>0</xdr:rowOff>
    </xdr:from>
    <xdr:to>
      <xdr:col>8</xdr:col>
      <xdr:colOff>742949</xdr:colOff>
      <xdr:row>31</xdr:row>
      <xdr:rowOff>95250</xdr:rowOff>
    </xdr:to>
    <xdr:graphicFrame macro="">
      <xdr:nvGraphicFramePr>
        <xdr:cNvPr id="2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219075</xdr:colOff>
      <xdr:row>7</xdr:row>
      <xdr:rowOff>0</xdr:rowOff>
    </xdr:from>
    <xdr:to>
      <xdr:col>9</xdr:col>
      <xdr:colOff>0</xdr:colOff>
      <xdr:row>31</xdr:row>
      <xdr:rowOff>95250</xdr:rowOff>
    </xdr:to>
    <xdr:graphicFrame macro="">
      <xdr:nvGraphicFramePr>
        <xdr:cNvPr id="46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I/Desktop/&#20013;&#38134;&#23454;&#20064;/&#27979;&#35797;&#25991;&#26723;/&#26399;&#26435;&#23450;&#20215;/XLL/Option%20Pricing%20Formulas&#65288;&#24120;&#35268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"/>
      <sheetName val="BlackScholes"/>
      <sheetName val="CallPutSpread"/>
      <sheetName val="Call+Put"/>
      <sheetName val="CallPutSpread (2)"/>
      <sheetName val="Gap Option"/>
      <sheetName val="Cash-or-nothing "/>
      <sheetName val="CallSpread-Digital"/>
      <sheetName val="Asset-or-nothing"/>
      <sheetName val="SuperShare"/>
      <sheetName val="BinaryBarriers"/>
      <sheetName val="BinaryDoubleBarrier"/>
      <sheetName val="BinaryDoubleBarrierAsym"/>
      <sheetName val="StandardBarrier"/>
      <sheetName val="DoubleBarrier"/>
      <sheetName val="PartialTime"/>
      <sheetName val="LookBarrier"/>
      <sheetName val="SoftBarrier"/>
      <sheetName val="WindowBarrier"/>
      <sheetName val="IronCondor"/>
    </sheetNames>
    <sheetDataSet>
      <sheetData sheetId="0">
        <row r="1">
          <cell r="F1">
            <v>0.01</v>
          </cell>
        </row>
      </sheetData>
      <sheetData sheetId="1">
        <row r="27">
          <cell r="M27">
            <v>10</v>
          </cell>
          <cell r="N27">
            <v>30.882352941176471</v>
          </cell>
          <cell r="O27">
            <v>51.764705882352942</v>
          </cell>
          <cell r="P27">
            <v>72.64705882352942</v>
          </cell>
          <cell r="Q27">
            <v>93.529411764705884</v>
          </cell>
          <cell r="R27">
            <v>114.41176470588235</v>
          </cell>
          <cell r="S27">
            <v>135.29411764705881</v>
          </cell>
          <cell r="T27">
            <v>156.17647058823528</v>
          </cell>
          <cell r="U27">
            <v>177.05882352941174</v>
          </cell>
          <cell r="V27">
            <v>197.9411764705882</v>
          </cell>
          <cell r="W27">
            <v>218.82352941176467</v>
          </cell>
          <cell r="X27">
            <v>239.70588235294113</v>
          </cell>
          <cell r="Y27">
            <v>260.58823529411762</v>
          </cell>
          <cell r="Z27">
            <v>281.47058823529409</v>
          </cell>
          <cell r="AA27">
            <v>302.35294117647055</v>
          </cell>
          <cell r="AB27">
            <v>323.23529411764702</v>
          </cell>
        </row>
        <row r="28">
          <cell r="L28">
            <v>154.5</v>
          </cell>
          <cell r="M28" t="e">
            <v>#NAME?</v>
          </cell>
          <cell r="N28" t="e">
            <v>#NAME?</v>
          </cell>
          <cell r="O28" t="e">
            <v>#NAME?</v>
          </cell>
          <cell r="P28" t="e">
            <v>#NAME?</v>
          </cell>
          <cell r="Q28" t="e">
            <v>#NAME?</v>
          </cell>
          <cell r="R28" t="e">
            <v>#NAME?</v>
          </cell>
          <cell r="S28" t="e">
            <v>#NAME?</v>
          </cell>
          <cell r="T28" t="e">
            <v>#NAME?</v>
          </cell>
          <cell r="U28" t="e">
            <v>#NAME?</v>
          </cell>
          <cell r="V28" t="e">
            <v>#NAME?</v>
          </cell>
          <cell r="W28" t="e">
            <v>#NAME?</v>
          </cell>
          <cell r="X28" t="e">
            <v>#NAME?</v>
          </cell>
          <cell r="Y28" t="e">
            <v>#NAME?</v>
          </cell>
          <cell r="Z28" t="e">
            <v>#NAME?</v>
          </cell>
          <cell r="AA28" t="e">
            <v>#NAME?</v>
          </cell>
          <cell r="AB28" t="e">
            <v>#NAME?</v>
          </cell>
        </row>
        <row r="29">
          <cell r="L29">
            <v>149.35</v>
          </cell>
          <cell r="M29" t="e">
            <v>#NAME?</v>
          </cell>
          <cell r="N29" t="e">
            <v>#NAME?</v>
          </cell>
          <cell r="O29" t="e">
            <v>#NAME?</v>
          </cell>
          <cell r="P29" t="e">
            <v>#NAME?</v>
          </cell>
          <cell r="Q29" t="e">
            <v>#NAME?</v>
          </cell>
          <cell r="R29" t="e">
            <v>#NAME?</v>
          </cell>
          <cell r="S29" t="e">
            <v>#NAME?</v>
          </cell>
          <cell r="T29" t="e">
            <v>#NAME?</v>
          </cell>
          <cell r="U29" t="e">
            <v>#NAME?</v>
          </cell>
          <cell r="V29" t="e">
            <v>#NAME?</v>
          </cell>
          <cell r="W29" t="e">
            <v>#NAME?</v>
          </cell>
          <cell r="X29" t="e">
            <v>#NAME?</v>
          </cell>
          <cell r="Y29" t="e">
            <v>#NAME?</v>
          </cell>
          <cell r="Z29" t="e">
            <v>#NAME?</v>
          </cell>
          <cell r="AA29" t="e">
            <v>#NAME?</v>
          </cell>
          <cell r="AB29" t="e">
            <v>#NAME?</v>
          </cell>
        </row>
        <row r="30">
          <cell r="L30">
            <v>144.19999999999999</v>
          </cell>
          <cell r="M30" t="e">
            <v>#NAME?</v>
          </cell>
          <cell r="N30" t="e">
            <v>#NAME?</v>
          </cell>
          <cell r="O30" t="e">
            <v>#NAME?</v>
          </cell>
          <cell r="P30" t="e">
            <v>#NAME?</v>
          </cell>
          <cell r="Q30" t="e">
            <v>#NAME?</v>
          </cell>
          <cell r="R30" t="e">
            <v>#NAME?</v>
          </cell>
          <cell r="S30" t="e">
            <v>#NAME?</v>
          </cell>
          <cell r="T30" t="e">
            <v>#NAME?</v>
          </cell>
          <cell r="U30" t="e">
            <v>#NAME?</v>
          </cell>
          <cell r="V30" t="e">
            <v>#NAME?</v>
          </cell>
          <cell r="W30" t="e">
            <v>#NAME?</v>
          </cell>
          <cell r="X30" t="e">
            <v>#NAME?</v>
          </cell>
          <cell r="Y30" t="e">
            <v>#NAME?</v>
          </cell>
          <cell r="Z30" t="e">
            <v>#NAME?</v>
          </cell>
          <cell r="AA30" t="e">
            <v>#NAME?</v>
          </cell>
          <cell r="AB30" t="e">
            <v>#NAME?</v>
          </cell>
        </row>
        <row r="31">
          <cell r="L31">
            <v>139.04999999999998</v>
          </cell>
          <cell r="M31" t="e">
            <v>#NAME?</v>
          </cell>
          <cell r="N31" t="e">
            <v>#NAME?</v>
          </cell>
          <cell r="O31" t="e">
            <v>#NAME?</v>
          </cell>
          <cell r="P31" t="e">
            <v>#NAME?</v>
          </cell>
          <cell r="Q31" t="e">
            <v>#NAME?</v>
          </cell>
          <cell r="R31" t="e">
            <v>#NAME?</v>
          </cell>
          <cell r="S31" t="e">
            <v>#NAME?</v>
          </cell>
          <cell r="T31" t="e">
            <v>#NAME?</v>
          </cell>
          <cell r="U31" t="e">
            <v>#NAME?</v>
          </cell>
          <cell r="V31" t="e">
            <v>#NAME?</v>
          </cell>
          <cell r="W31" t="e">
            <v>#NAME?</v>
          </cell>
          <cell r="X31" t="e">
            <v>#NAME?</v>
          </cell>
          <cell r="Y31" t="e">
            <v>#NAME?</v>
          </cell>
          <cell r="Z31" t="e">
            <v>#NAME?</v>
          </cell>
          <cell r="AA31" t="e">
            <v>#NAME?</v>
          </cell>
          <cell r="AB31" t="e">
            <v>#NAME?</v>
          </cell>
        </row>
        <row r="32">
          <cell r="L32">
            <v>133.89999999999998</v>
          </cell>
          <cell r="M32" t="e">
            <v>#NAME?</v>
          </cell>
          <cell r="N32" t="e">
            <v>#NAME?</v>
          </cell>
          <cell r="O32" t="e">
            <v>#NAME?</v>
          </cell>
          <cell r="P32" t="e">
            <v>#NAME?</v>
          </cell>
          <cell r="Q32" t="e">
            <v>#NAME?</v>
          </cell>
          <cell r="R32" t="e">
            <v>#NAME?</v>
          </cell>
          <cell r="S32" t="e">
            <v>#NAME?</v>
          </cell>
          <cell r="T32" t="e">
            <v>#NAME?</v>
          </cell>
          <cell r="U32" t="e">
            <v>#NAME?</v>
          </cell>
          <cell r="V32" t="e">
            <v>#NAME?</v>
          </cell>
          <cell r="W32" t="e">
            <v>#NAME?</v>
          </cell>
          <cell r="X32" t="e">
            <v>#NAME?</v>
          </cell>
          <cell r="Y32" t="e">
            <v>#NAME?</v>
          </cell>
          <cell r="Z32" t="e">
            <v>#NAME?</v>
          </cell>
          <cell r="AA32" t="e">
            <v>#NAME?</v>
          </cell>
          <cell r="AB32" t="e">
            <v>#NAME?</v>
          </cell>
        </row>
        <row r="33">
          <cell r="L33">
            <v>128.74999999999997</v>
          </cell>
          <cell r="M33" t="e">
            <v>#NAME?</v>
          </cell>
          <cell r="N33" t="e">
            <v>#NAME?</v>
          </cell>
          <cell r="O33" t="e">
            <v>#NAME?</v>
          </cell>
          <cell r="P33" t="e">
            <v>#NAME?</v>
          </cell>
          <cell r="Q33" t="e">
            <v>#NAME?</v>
          </cell>
          <cell r="R33" t="e">
            <v>#NAME?</v>
          </cell>
          <cell r="S33" t="e">
            <v>#NAME?</v>
          </cell>
          <cell r="T33" t="e">
            <v>#NAME?</v>
          </cell>
          <cell r="U33" t="e">
            <v>#NAME?</v>
          </cell>
          <cell r="V33" t="e">
            <v>#NAME?</v>
          </cell>
          <cell r="W33" t="e">
            <v>#NAME?</v>
          </cell>
          <cell r="X33" t="e">
            <v>#NAME?</v>
          </cell>
          <cell r="Y33" t="e">
            <v>#NAME?</v>
          </cell>
          <cell r="Z33" t="e">
            <v>#NAME?</v>
          </cell>
          <cell r="AA33" t="e">
            <v>#NAME?</v>
          </cell>
          <cell r="AB33" t="e">
            <v>#NAME?</v>
          </cell>
        </row>
        <row r="34">
          <cell r="L34">
            <v>123.59999999999997</v>
          </cell>
          <cell r="M34" t="e">
            <v>#NAME?</v>
          </cell>
          <cell r="N34" t="e">
            <v>#NAME?</v>
          </cell>
          <cell r="O34" t="e">
            <v>#NAME?</v>
          </cell>
          <cell r="P34" t="e">
            <v>#NAME?</v>
          </cell>
          <cell r="Q34" t="e">
            <v>#NAME?</v>
          </cell>
          <cell r="R34" t="e">
            <v>#NAME?</v>
          </cell>
          <cell r="S34" t="e">
            <v>#NAME?</v>
          </cell>
          <cell r="T34" t="e">
            <v>#NAME?</v>
          </cell>
          <cell r="U34" t="e">
            <v>#NAME?</v>
          </cell>
          <cell r="V34" t="e">
            <v>#NAME?</v>
          </cell>
          <cell r="W34" t="e">
            <v>#NAME?</v>
          </cell>
          <cell r="X34" t="e">
            <v>#NAME?</v>
          </cell>
          <cell r="Y34" t="e">
            <v>#NAME?</v>
          </cell>
          <cell r="Z34" t="e">
            <v>#NAME?</v>
          </cell>
          <cell r="AA34" t="e">
            <v>#NAME?</v>
          </cell>
          <cell r="AB34" t="e">
            <v>#NAME?</v>
          </cell>
        </row>
        <row r="35">
          <cell r="L35">
            <v>118.44999999999996</v>
          </cell>
          <cell r="M35" t="e">
            <v>#NAME?</v>
          </cell>
          <cell r="N35" t="e">
            <v>#NAME?</v>
          </cell>
          <cell r="O35" t="e">
            <v>#NAME?</v>
          </cell>
          <cell r="P35" t="e">
            <v>#NAME?</v>
          </cell>
          <cell r="Q35" t="e">
            <v>#NAME?</v>
          </cell>
          <cell r="R35" t="e">
            <v>#NAME?</v>
          </cell>
          <cell r="S35" t="e">
            <v>#NAME?</v>
          </cell>
          <cell r="T35" t="e">
            <v>#NAME?</v>
          </cell>
          <cell r="U35" t="e">
            <v>#NAME?</v>
          </cell>
          <cell r="V35" t="e">
            <v>#NAME?</v>
          </cell>
          <cell r="W35" t="e">
            <v>#NAME?</v>
          </cell>
          <cell r="X35" t="e">
            <v>#NAME?</v>
          </cell>
          <cell r="Y35" t="e">
            <v>#NAME?</v>
          </cell>
          <cell r="Z35" t="e">
            <v>#NAME?</v>
          </cell>
          <cell r="AA35" t="e">
            <v>#NAME?</v>
          </cell>
          <cell r="AB35" t="e">
            <v>#NAME?</v>
          </cell>
        </row>
        <row r="36">
          <cell r="L36">
            <v>113.29999999999995</v>
          </cell>
          <cell r="M36" t="e">
            <v>#NAME?</v>
          </cell>
          <cell r="N36" t="e">
            <v>#NAME?</v>
          </cell>
          <cell r="O36" t="e">
            <v>#NAME?</v>
          </cell>
          <cell r="P36" t="e">
            <v>#NAME?</v>
          </cell>
          <cell r="Q36" t="e">
            <v>#NAME?</v>
          </cell>
          <cell r="R36" t="e">
            <v>#NAME?</v>
          </cell>
          <cell r="S36" t="e">
            <v>#NAME?</v>
          </cell>
          <cell r="T36" t="e">
            <v>#NAME?</v>
          </cell>
          <cell r="U36" t="e">
            <v>#NAME?</v>
          </cell>
          <cell r="V36" t="e">
            <v>#NAME?</v>
          </cell>
          <cell r="W36" t="e">
            <v>#NAME?</v>
          </cell>
          <cell r="X36" t="e">
            <v>#NAME?</v>
          </cell>
          <cell r="Y36" t="e">
            <v>#NAME?</v>
          </cell>
          <cell r="Z36" t="e">
            <v>#NAME?</v>
          </cell>
          <cell r="AA36" t="e">
            <v>#NAME?</v>
          </cell>
          <cell r="AB36" t="e">
            <v>#NAME?</v>
          </cell>
        </row>
        <row r="37">
          <cell r="L37">
            <v>108.14999999999995</v>
          </cell>
          <cell r="M37" t="e">
            <v>#NAME?</v>
          </cell>
          <cell r="N37" t="e">
            <v>#NAME?</v>
          </cell>
          <cell r="O37" t="e">
            <v>#NAME?</v>
          </cell>
          <cell r="P37" t="e">
            <v>#NAME?</v>
          </cell>
          <cell r="Q37" t="e">
            <v>#NAME?</v>
          </cell>
          <cell r="R37" t="e">
            <v>#NAME?</v>
          </cell>
          <cell r="S37" t="e">
            <v>#NAME?</v>
          </cell>
          <cell r="T37" t="e">
            <v>#NAME?</v>
          </cell>
          <cell r="U37" t="e">
            <v>#NAME?</v>
          </cell>
          <cell r="V37" t="e">
            <v>#NAME?</v>
          </cell>
          <cell r="W37" t="e">
            <v>#NAME?</v>
          </cell>
          <cell r="X37" t="e">
            <v>#NAME?</v>
          </cell>
          <cell r="Y37" t="e">
            <v>#NAME?</v>
          </cell>
          <cell r="Z37" t="e">
            <v>#NAME?</v>
          </cell>
          <cell r="AA37" t="e">
            <v>#NAME?</v>
          </cell>
          <cell r="AB37" t="e">
            <v>#NAME?</v>
          </cell>
        </row>
        <row r="38">
          <cell r="L38">
            <v>102.99999999999994</v>
          </cell>
          <cell r="M38" t="e">
            <v>#NAME?</v>
          </cell>
          <cell r="N38" t="e">
            <v>#NAME?</v>
          </cell>
          <cell r="O38" t="e">
            <v>#NAME?</v>
          </cell>
          <cell r="P38" t="e">
            <v>#NAME?</v>
          </cell>
          <cell r="Q38" t="e">
            <v>#NAME?</v>
          </cell>
          <cell r="R38" t="e">
            <v>#NAME?</v>
          </cell>
          <cell r="S38" t="e">
            <v>#NAME?</v>
          </cell>
          <cell r="T38" t="e">
            <v>#NAME?</v>
          </cell>
          <cell r="U38" t="e">
            <v>#NAME?</v>
          </cell>
          <cell r="V38" t="e">
            <v>#NAME?</v>
          </cell>
          <cell r="W38" t="e">
            <v>#NAME?</v>
          </cell>
          <cell r="X38" t="e">
            <v>#NAME?</v>
          </cell>
          <cell r="Y38" t="e">
            <v>#NAME?</v>
          </cell>
          <cell r="Z38" t="e">
            <v>#NAME?</v>
          </cell>
          <cell r="AA38" t="e">
            <v>#NAME?</v>
          </cell>
          <cell r="AB38" t="e">
            <v>#NAME?</v>
          </cell>
        </row>
        <row r="39">
          <cell r="L39">
            <v>97.849999999999937</v>
          </cell>
          <cell r="M39" t="e">
            <v>#NAME?</v>
          </cell>
          <cell r="N39" t="e">
            <v>#NAME?</v>
          </cell>
          <cell r="O39" t="e">
            <v>#NAME?</v>
          </cell>
          <cell r="P39" t="e">
            <v>#NAME?</v>
          </cell>
          <cell r="Q39" t="e">
            <v>#NAME?</v>
          </cell>
          <cell r="R39" t="e">
            <v>#NAME?</v>
          </cell>
          <cell r="S39" t="e">
            <v>#NAME?</v>
          </cell>
          <cell r="T39" t="e">
            <v>#NAME?</v>
          </cell>
          <cell r="U39" t="e">
            <v>#NAME?</v>
          </cell>
          <cell r="V39" t="e">
            <v>#NAME?</v>
          </cell>
          <cell r="W39" t="e">
            <v>#NAME?</v>
          </cell>
          <cell r="X39" t="e">
            <v>#NAME?</v>
          </cell>
          <cell r="Y39" t="e">
            <v>#NAME?</v>
          </cell>
          <cell r="Z39" t="e">
            <v>#NAME?</v>
          </cell>
          <cell r="AA39" t="e">
            <v>#NAME?</v>
          </cell>
          <cell r="AB39" t="e">
            <v>#NAME?</v>
          </cell>
        </row>
        <row r="40">
          <cell r="L40">
            <v>92.699999999999932</v>
          </cell>
          <cell r="M40" t="e">
            <v>#NAME?</v>
          </cell>
          <cell r="N40" t="e">
            <v>#NAME?</v>
          </cell>
          <cell r="O40" t="e">
            <v>#NAME?</v>
          </cell>
          <cell r="P40" t="e">
            <v>#NAME?</v>
          </cell>
          <cell r="Q40" t="e">
            <v>#NAME?</v>
          </cell>
          <cell r="R40" t="e">
            <v>#NAME?</v>
          </cell>
          <cell r="S40" t="e">
            <v>#NAME?</v>
          </cell>
          <cell r="T40" t="e">
            <v>#NAME?</v>
          </cell>
          <cell r="U40" t="e">
            <v>#NAME?</v>
          </cell>
          <cell r="V40" t="e">
            <v>#NAME?</v>
          </cell>
          <cell r="W40" t="e">
            <v>#NAME?</v>
          </cell>
          <cell r="X40" t="e">
            <v>#NAME?</v>
          </cell>
          <cell r="Y40" t="e">
            <v>#NAME?</v>
          </cell>
          <cell r="Z40" t="e">
            <v>#NAME?</v>
          </cell>
          <cell r="AA40" t="e">
            <v>#NAME?</v>
          </cell>
          <cell r="AB40" t="e">
            <v>#NAME?</v>
          </cell>
        </row>
        <row r="41">
          <cell r="L41">
            <v>87.549999999999926</v>
          </cell>
          <cell r="M41" t="e">
            <v>#NAME?</v>
          </cell>
          <cell r="N41" t="e">
            <v>#NAME?</v>
          </cell>
          <cell r="O41" t="e">
            <v>#NAME?</v>
          </cell>
          <cell r="P41" t="e">
            <v>#NAME?</v>
          </cell>
          <cell r="Q41" t="e">
            <v>#NAME?</v>
          </cell>
          <cell r="R41" t="e">
            <v>#NAME?</v>
          </cell>
          <cell r="S41" t="e">
            <v>#NAME?</v>
          </cell>
          <cell r="T41" t="e">
            <v>#NAME?</v>
          </cell>
          <cell r="U41" t="e">
            <v>#NAME?</v>
          </cell>
          <cell r="V41" t="e">
            <v>#NAME?</v>
          </cell>
          <cell r="W41" t="e">
            <v>#NAME?</v>
          </cell>
          <cell r="X41" t="e">
            <v>#NAME?</v>
          </cell>
          <cell r="Y41" t="e">
            <v>#NAME?</v>
          </cell>
          <cell r="Z41" t="e">
            <v>#NAME?</v>
          </cell>
          <cell r="AA41" t="e">
            <v>#NAME?</v>
          </cell>
          <cell r="AB41" t="e">
            <v>#NAME?</v>
          </cell>
        </row>
        <row r="42">
          <cell r="L42">
            <v>82.39999999999992</v>
          </cell>
          <cell r="M42" t="e">
            <v>#NAME?</v>
          </cell>
          <cell r="N42" t="e">
            <v>#NAME?</v>
          </cell>
          <cell r="O42" t="e">
            <v>#NAME?</v>
          </cell>
          <cell r="P42" t="e">
            <v>#NAME?</v>
          </cell>
          <cell r="Q42" t="e">
            <v>#NAME?</v>
          </cell>
          <cell r="R42" t="e">
            <v>#NAME?</v>
          </cell>
          <cell r="S42" t="e">
            <v>#NAME?</v>
          </cell>
          <cell r="T42" t="e">
            <v>#NAME?</v>
          </cell>
          <cell r="U42" t="e">
            <v>#NAME?</v>
          </cell>
          <cell r="V42" t="e">
            <v>#NAME?</v>
          </cell>
          <cell r="W42" t="e">
            <v>#NAME?</v>
          </cell>
          <cell r="X42" t="e">
            <v>#NAME?</v>
          </cell>
          <cell r="Y42" t="e">
            <v>#NAME?</v>
          </cell>
          <cell r="Z42" t="e">
            <v>#NAME?</v>
          </cell>
          <cell r="AA42" t="e">
            <v>#NAME?</v>
          </cell>
          <cell r="AB42" t="e">
            <v>#NAME?</v>
          </cell>
        </row>
        <row r="43">
          <cell r="L43">
            <v>77.249999999999915</v>
          </cell>
          <cell r="M43" t="e">
            <v>#NAME?</v>
          </cell>
          <cell r="N43" t="e">
            <v>#NAME?</v>
          </cell>
          <cell r="O43" t="e">
            <v>#NAME?</v>
          </cell>
          <cell r="P43" t="e">
            <v>#NAME?</v>
          </cell>
          <cell r="Q43" t="e">
            <v>#NAME?</v>
          </cell>
          <cell r="R43" t="e">
            <v>#NAME?</v>
          </cell>
          <cell r="S43" t="e">
            <v>#NAME?</v>
          </cell>
          <cell r="T43" t="e">
            <v>#NAME?</v>
          </cell>
          <cell r="U43" t="e">
            <v>#NAME?</v>
          </cell>
          <cell r="V43" t="e">
            <v>#NAME?</v>
          </cell>
          <cell r="W43" t="e">
            <v>#NAME?</v>
          </cell>
          <cell r="X43" t="e">
            <v>#NAME?</v>
          </cell>
          <cell r="Y43" t="e">
            <v>#NAME?</v>
          </cell>
          <cell r="Z43" t="e">
            <v>#NAME?</v>
          </cell>
          <cell r="AA43" t="e">
            <v>#NAME?</v>
          </cell>
          <cell r="AB43" t="e">
            <v>#NAME?</v>
          </cell>
        </row>
        <row r="44">
          <cell r="L44">
            <v>72.099999999999909</v>
          </cell>
          <cell r="M44" t="e">
            <v>#NAME?</v>
          </cell>
          <cell r="N44" t="e">
            <v>#NAME?</v>
          </cell>
          <cell r="O44" t="e">
            <v>#NAME?</v>
          </cell>
          <cell r="P44" t="e">
            <v>#NAME?</v>
          </cell>
          <cell r="Q44" t="e">
            <v>#NAME?</v>
          </cell>
          <cell r="R44" t="e">
            <v>#NAME?</v>
          </cell>
          <cell r="S44" t="e">
            <v>#NAME?</v>
          </cell>
          <cell r="T44" t="e">
            <v>#NAME?</v>
          </cell>
          <cell r="U44" t="e">
            <v>#NAME?</v>
          </cell>
          <cell r="V44" t="e">
            <v>#NAME?</v>
          </cell>
          <cell r="W44" t="e">
            <v>#NAME?</v>
          </cell>
          <cell r="X44" t="e">
            <v>#NAME?</v>
          </cell>
          <cell r="Y44" t="e">
            <v>#NAME?</v>
          </cell>
          <cell r="Z44" t="e">
            <v>#NAME?</v>
          </cell>
          <cell r="AA44" t="e">
            <v>#NAME?</v>
          </cell>
          <cell r="AB44" t="e">
            <v>#NAME?</v>
          </cell>
        </row>
        <row r="45">
          <cell r="L45">
            <v>66.949999999999903</v>
          </cell>
          <cell r="M45" t="e">
            <v>#NAME?</v>
          </cell>
          <cell r="N45" t="e">
            <v>#NAME?</v>
          </cell>
          <cell r="O45" t="e">
            <v>#NAME?</v>
          </cell>
          <cell r="P45" t="e">
            <v>#NAME?</v>
          </cell>
          <cell r="Q45" t="e">
            <v>#NAME?</v>
          </cell>
          <cell r="R45" t="e">
            <v>#NAME?</v>
          </cell>
          <cell r="S45" t="e">
            <v>#NAME?</v>
          </cell>
          <cell r="T45" t="e">
            <v>#NAME?</v>
          </cell>
          <cell r="U45" t="e">
            <v>#NAME?</v>
          </cell>
          <cell r="V45" t="e">
            <v>#NAME?</v>
          </cell>
          <cell r="W45" t="e">
            <v>#NAME?</v>
          </cell>
          <cell r="X45" t="e">
            <v>#NAME?</v>
          </cell>
          <cell r="Y45" t="e">
            <v>#NAME?</v>
          </cell>
          <cell r="Z45" t="e">
            <v>#NAME?</v>
          </cell>
          <cell r="AA45" t="e">
            <v>#NAME?</v>
          </cell>
          <cell r="AB45" t="e">
            <v>#NAME?</v>
          </cell>
        </row>
        <row r="46">
          <cell r="L46">
            <v>61.799999999999905</v>
          </cell>
          <cell r="M46" t="e">
            <v>#NAME?</v>
          </cell>
          <cell r="N46" t="e">
            <v>#NAME?</v>
          </cell>
          <cell r="O46" t="e">
            <v>#NAME?</v>
          </cell>
          <cell r="P46" t="e">
            <v>#NAME?</v>
          </cell>
          <cell r="Q46" t="e">
            <v>#NAME?</v>
          </cell>
          <cell r="R46" t="e">
            <v>#NAME?</v>
          </cell>
          <cell r="S46" t="e">
            <v>#NAME?</v>
          </cell>
          <cell r="T46" t="e">
            <v>#NAME?</v>
          </cell>
          <cell r="U46" t="e">
            <v>#NAME?</v>
          </cell>
          <cell r="V46" t="e">
            <v>#NAME?</v>
          </cell>
          <cell r="W46" t="e">
            <v>#NAME?</v>
          </cell>
          <cell r="X46" t="e">
            <v>#NAME?</v>
          </cell>
          <cell r="Y46" t="e">
            <v>#NAME?</v>
          </cell>
          <cell r="Z46" t="e">
            <v>#NAME?</v>
          </cell>
          <cell r="AA46" t="e">
            <v>#NAME?</v>
          </cell>
          <cell r="AB46" t="e">
            <v>#NAME?</v>
          </cell>
        </row>
        <row r="47">
          <cell r="L47">
            <v>56.649999999999906</v>
          </cell>
          <cell r="M47" t="e">
            <v>#NAME?</v>
          </cell>
          <cell r="N47" t="e">
            <v>#NAME?</v>
          </cell>
          <cell r="O47" t="e">
            <v>#NAME?</v>
          </cell>
          <cell r="P47" t="e">
            <v>#NAME?</v>
          </cell>
          <cell r="Q47" t="e">
            <v>#NAME?</v>
          </cell>
          <cell r="R47" t="e">
            <v>#NAME?</v>
          </cell>
          <cell r="S47" t="e">
            <v>#NAME?</v>
          </cell>
          <cell r="T47" t="e">
            <v>#NAME?</v>
          </cell>
          <cell r="U47" t="e">
            <v>#NAME?</v>
          </cell>
          <cell r="V47" t="e">
            <v>#NAME?</v>
          </cell>
          <cell r="W47" t="e">
            <v>#NAME?</v>
          </cell>
          <cell r="X47" t="e">
            <v>#NAME?</v>
          </cell>
          <cell r="Y47" t="e">
            <v>#NAME?</v>
          </cell>
          <cell r="Z47" t="e">
            <v>#NAME?</v>
          </cell>
          <cell r="AA47" t="e">
            <v>#NAME?</v>
          </cell>
          <cell r="AB47" t="e">
            <v>#NAME?</v>
          </cell>
        </row>
        <row r="48">
          <cell r="L48">
            <v>51.499999999999908</v>
          </cell>
          <cell r="M48" t="e">
            <v>#NAME?</v>
          </cell>
          <cell r="N48" t="e">
            <v>#NAME?</v>
          </cell>
          <cell r="O48" t="e">
            <v>#NAME?</v>
          </cell>
          <cell r="P48" t="e">
            <v>#NAME?</v>
          </cell>
          <cell r="Q48" t="e">
            <v>#NAME?</v>
          </cell>
          <cell r="R48" t="e">
            <v>#NAME?</v>
          </cell>
          <cell r="S48" t="e">
            <v>#NAME?</v>
          </cell>
          <cell r="T48" t="e">
            <v>#NAME?</v>
          </cell>
          <cell r="U48" t="e">
            <v>#NAME?</v>
          </cell>
          <cell r="V48" t="e">
            <v>#NAME?</v>
          </cell>
          <cell r="W48" t="e">
            <v>#NAME?</v>
          </cell>
          <cell r="X48" t="e">
            <v>#NAME?</v>
          </cell>
          <cell r="Y48" t="e">
            <v>#NAME?</v>
          </cell>
          <cell r="Z48" t="e">
            <v>#NAME?</v>
          </cell>
          <cell r="AA48" t="e">
            <v>#NAME?</v>
          </cell>
          <cell r="AB48" t="e">
            <v>#NAME?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8">
          <cell r="M28">
            <v>10</v>
          </cell>
          <cell r="N28">
            <v>30.882352941176471</v>
          </cell>
          <cell r="O28">
            <v>51.764705882352942</v>
          </cell>
          <cell r="P28">
            <v>72.64705882352942</v>
          </cell>
          <cell r="Q28">
            <v>93.529411764705884</v>
          </cell>
          <cell r="R28">
            <v>114.41176470588235</v>
          </cell>
          <cell r="S28">
            <v>135.29411764705881</v>
          </cell>
          <cell r="T28">
            <v>156.17647058823528</v>
          </cell>
          <cell r="U28">
            <v>177.05882352941174</v>
          </cell>
          <cell r="V28">
            <v>197.9411764705882</v>
          </cell>
          <cell r="W28">
            <v>218.82352941176467</v>
          </cell>
          <cell r="X28">
            <v>239.70588235294113</v>
          </cell>
          <cell r="Y28">
            <v>260.58823529411762</v>
          </cell>
          <cell r="Z28">
            <v>281.47058823529409</v>
          </cell>
          <cell r="AA28">
            <v>302.35294117647055</v>
          </cell>
          <cell r="AB28">
            <v>323.23529411764702</v>
          </cell>
        </row>
        <row r="29">
          <cell r="L29">
            <v>150</v>
          </cell>
          <cell r="M29" t="e">
            <v>#NAME?</v>
          </cell>
          <cell r="N29" t="e">
            <v>#NAME?</v>
          </cell>
          <cell r="O29" t="e">
            <v>#NAME?</v>
          </cell>
          <cell r="P29" t="e">
            <v>#NAME?</v>
          </cell>
          <cell r="Q29" t="e">
            <v>#NAME?</v>
          </cell>
          <cell r="R29" t="e">
            <v>#NAME?</v>
          </cell>
          <cell r="S29" t="e">
            <v>#NAME?</v>
          </cell>
          <cell r="T29" t="e">
            <v>#NAME?</v>
          </cell>
          <cell r="U29" t="e">
            <v>#NAME?</v>
          </cell>
          <cell r="V29" t="e">
            <v>#NAME?</v>
          </cell>
          <cell r="W29" t="e">
            <v>#NAME?</v>
          </cell>
          <cell r="X29" t="e">
            <v>#NAME?</v>
          </cell>
          <cell r="Y29" t="e">
            <v>#NAME?</v>
          </cell>
          <cell r="Z29" t="e">
            <v>#NAME?</v>
          </cell>
          <cell r="AA29" t="e">
            <v>#NAME?</v>
          </cell>
          <cell r="AB29" t="e">
            <v>#NAME?</v>
          </cell>
        </row>
        <row r="30">
          <cell r="L30">
            <v>145</v>
          </cell>
          <cell r="M30" t="e">
            <v>#NAME?</v>
          </cell>
          <cell r="N30" t="e">
            <v>#NAME?</v>
          </cell>
          <cell r="O30" t="e">
            <v>#NAME?</v>
          </cell>
          <cell r="P30" t="e">
            <v>#NAME?</v>
          </cell>
          <cell r="Q30" t="e">
            <v>#NAME?</v>
          </cell>
          <cell r="R30" t="e">
            <v>#NAME?</v>
          </cell>
          <cell r="S30" t="e">
            <v>#NAME?</v>
          </cell>
          <cell r="T30" t="e">
            <v>#NAME?</v>
          </cell>
          <cell r="U30" t="e">
            <v>#NAME?</v>
          </cell>
          <cell r="V30" t="e">
            <v>#NAME?</v>
          </cell>
          <cell r="W30" t="e">
            <v>#NAME?</v>
          </cell>
          <cell r="X30" t="e">
            <v>#NAME?</v>
          </cell>
          <cell r="Y30" t="e">
            <v>#NAME?</v>
          </cell>
          <cell r="Z30" t="e">
            <v>#NAME?</v>
          </cell>
          <cell r="AA30" t="e">
            <v>#NAME?</v>
          </cell>
          <cell r="AB30" t="e">
            <v>#NAME?</v>
          </cell>
        </row>
        <row r="31">
          <cell r="L31">
            <v>140</v>
          </cell>
          <cell r="M31" t="e">
            <v>#NAME?</v>
          </cell>
          <cell r="N31" t="e">
            <v>#NAME?</v>
          </cell>
          <cell r="O31" t="e">
            <v>#NAME?</v>
          </cell>
          <cell r="P31" t="e">
            <v>#NAME?</v>
          </cell>
          <cell r="Q31" t="e">
            <v>#NAME?</v>
          </cell>
          <cell r="R31" t="e">
            <v>#NAME?</v>
          </cell>
          <cell r="S31" t="e">
            <v>#NAME?</v>
          </cell>
          <cell r="T31" t="e">
            <v>#NAME?</v>
          </cell>
          <cell r="U31" t="e">
            <v>#NAME?</v>
          </cell>
          <cell r="V31" t="e">
            <v>#NAME?</v>
          </cell>
          <cell r="W31" t="e">
            <v>#NAME?</v>
          </cell>
          <cell r="X31" t="e">
            <v>#NAME?</v>
          </cell>
          <cell r="Y31" t="e">
            <v>#NAME?</v>
          </cell>
          <cell r="Z31" t="e">
            <v>#NAME?</v>
          </cell>
          <cell r="AA31" t="e">
            <v>#NAME?</v>
          </cell>
          <cell r="AB31" t="e">
            <v>#NAME?</v>
          </cell>
        </row>
        <row r="32">
          <cell r="L32">
            <v>135</v>
          </cell>
          <cell r="M32" t="e">
            <v>#NAME?</v>
          </cell>
          <cell r="N32" t="e">
            <v>#NAME?</v>
          </cell>
          <cell r="O32" t="e">
            <v>#NAME?</v>
          </cell>
          <cell r="P32" t="e">
            <v>#NAME?</v>
          </cell>
          <cell r="Q32" t="e">
            <v>#NAME?</v>
          </cell>
          <cell r="R32" t="e">
            <v>#NAME?</v>
          </cell>
          <cell r="S32" t="e">
            <v>#NAME?</v>
          </cell>
          <cell r="T32" t="e">
            <v>#NAME?</v>
          </cell>
          <cell r="U32" t="e">
            <v>#NAME?</v>
          </cell>
          <cell r="V32" t="e">
            <v>#NAME?</v>
          </cell>
          <cell r="W32" t="e">
            <v>#NAME?</v>
          </cell>
          <cell r="X32" t="e">
            <v>#NAME?</v>
          </cell>
          <cell r="Y32" t="e">
            <v>#NAME?</v>
          </cell>
          <cell r="Z32" t="e">
            <v>#NAME?</v>
          </cell>
          <cell r="AA32" t="e">
            <v>#NAME?</v>
          </cell>
          <cell r="AB32" t="e">
            <v>#NAME?</v>
          </cell>
        </row>
        <row r="33">
          <cell r="L33">
            <v>130</v>
          </cell>
          <cell r="M33" t="e">
            <v>#NAME?</v>
          </cell>
          <cell r="N33" t="e">
            <v>#NAME?</v>
          </cell>
          <cell r="O33" t="e">
            <v>#NAME?</v>
          </cell>
          <cell r="P33" t="e">
            <v>#NAME?</v>
          </cell>
          <cell r="Q33" t="e">
            <v>#NAME?</v>
          </cell>
          <cell r="R33" t="e">
            <v>#NAME?</v>
          </cell>
          <cell r="S33" t="e">
            <v>#NAME?</v>
          </cell>
          <cell r="T33" t="e">
            <v>#NAME?</v>
          </cell>
          <cell r="U33" t="e">
            <v>#NAME?</v>
          </cell>
          <cell r="V33" t="e">
            <v>#NAME?</v>
          </cell>
          <cell r="W33" t="e">
            <v>#NAME?</v>
          </cell>
          <cell r="X33" t="e">
            <v>#NAME?</v>
          </cell>
          <cell r="Y33" t="e">
            <v>#NAME?</v>
          </cell>
          <cell r="Z33" t="e">
            <v>#NAME?</v>
          </cell>
          <cell r="AA33" t="e">
            <v>#NAME?</v>
          </cell>
          <cell r="AB33" t="e">
            <v>#NAME?</v>
          </cell>
        </row>
        <row r="34">
          <cell r="L34">
            <v>125</v>
          </cell>
          <cell r="M34" t="e">
            <v>#NAME?</v>
          </cell>
          <cell r="N34" t="e">
            <v>#NAME?</v>
          </cell>
          <cell r="O34" t="e">
            <v>#NAME?</v>
          </cell>
          <cell r="P34" t="e">
            <v>#NAME?</v>
          </cell>
          <cell r="Q34" t="e">
            <v>#NAME?</v>
          </cell>
          <cell r="R34" t="e">
            <v>#NAME?</v>
          </cell>
          <cell r="S34" t="e">
            <v>#NAME?</v>
          </cell>
          <cell r="T34" t="e">
            <v>#NAME?</v>
          </cell>
          <cell r="U34" t="e">
            <v>#NAME?</v>
          </cell>
          <cell r="V34" t="e">
            <v>#NAME?</v>
          </cell>
          <cell r="W34" t="e">
            <v>#NAME?</v>
          </cell>
          <cell r="X34" t="e">
            <v>#NAME?</v>
          </cell>
          <cell r="Y34" t="e">
            <v>#NAME?</v>
          </cell>
          <cell r="Z34" t="e">
            <v>#NAME?</v>
          </cell>
          <cell r="AA34" t="e">
            <v>#NAME?</v>
          </cell>
          <cell r="AB34" t="e">
            <v>#NAME?</v>
          </cell>
        </row>
        <row r="35">
          <cell r="L35">
            <v>120</v>
          </cell>
          <cell r="M35" t="e">
            <v>#NAME?</v>
          </cell>
          <cell r="N35" t="e">
            <v>#NAME?</v>
          </cell>
          <cell r="O35" t="e">
            <v>#NAME?</v>
          </cell>
          <cell r="P35" t="e">
            <v>#NAME?</v>
          </cell>
          <cell r="Q35" t="e">
            <v>#NAME?</v>
          </cell>
          <cell r="R35" t="e">
            <v>#NAME?</v>
          </cell>
          <cell r="S35" t="e">
            <v>#NAME?</v>
          </cell>
          <cell r="T35" t="e">
            <v>#NAME?</v>
          </cell>
          <cell r="U35" t="e">
            <v>#NAME?</v>
          </cell>
          <cell r="V35" t="e">
            <v>#NAME?</v>
          </cell>
          <cell r="W35" t="e">
            <v>#NAME?</v>
          </cell>
          <cell r="X35" t="e">
            <v>#NAME?</v>
          </cell>
          <cell r="Y35" t="e">
            <v>#NAME?</v>
          </cell>
          <cell r="Z35" t="e">
            <v>#NAME?</v>
          </cell>
          <cell r="AA35" t="e">
            <v>#NAME?</v>
          </cell>
          <cell r="AB35" t="e">
            <v>#NAME?</v>
          </cell>
        </row>
        <row r="36">
          <cell r="L36">
            <v>115</v>
          </cell>
          <cell r="M36" t="e">
            <v>#NAME?</v>
          </cell>
          <cell r="N36" t="e">
            <v>#NAME?</v>
          </cell>
          <cell r="O36" t="e">
            <v>#NAME?</v>
          </cell>
          <cell r="P36" t="e">
            <v>#NAME?</v>
          </cell>
          <cell r="Q36" t="e">
            <v>#NAME?</v>
          </cell>
          <cell r="R36" t="e">
            <v>#NAME?</v>
          </cell>
          <cell r="S36" t="e">
            <v>#NAME?</v>
          </cell>
          <cell r="T36" t="e">
            <v>#NAME?</v>
          </cell>
          <cell r="U36" t="e">
            <v>#NAME?</v>
          </cell>
          <cell r="V36" t="e">
            <v>#NAME?</v>
          </cell>
          <cell r="W36" t="e">
            <v>#NAME?</v>
          </cell>
          <cell r="X36" t="e">
            <v>#NAME?</v>
          </cell>
          <cell r="Y36" t="e">
            <v>#NAME?</v>
          </cell>
          <cell r="Z36" t="e">
            <v>#NAME?</v>
          </cell>
          <cell r="AA36" t="e">
            <v>#NAME?</v>
          </cell>
          <cell r="AB36" t="e">
            <v>#NAME?</v>
          </cell>
        </row>
        <row r="37">
          <cell r="L37">
            <v>110</v>
          </cell>
          <cell r="M37" t="e">
            <v>#NAME?</v>
          </cell>
          <cell r="N37" t="e">
            <v>#NAME?</v>
          </cell>
          <cell r="O37" t="e">
            <v>#NAME?</v>
          </cell>
          <cell r="P37" t="e">
            <v>#NAME?</v>
          </cell>
          <cell r="Q37" t="e">
            <v>#NAME?</v>
          </cell>
          <cell r="R37" t="e">
            <v>#NAME?</v>
          </cell>
          <cell r="S37" t="e">
            <v>#NAME?</v>
          </cell>
          <cell r="T37" t="e">
            <v>#NAME?</v>
          </cell>
          <cell r="U37" t="e">
            <v>#NAME?</v>
          </cell>
          <cell r="V37" t="e">
            <v>#NAME?</v>
          </cell>
          <cell r="W37" t="e">
            <v>#NAME?</v>
          </cell>
          <cell r="X37" t="e">
            <v>#NAME?</v>
          </cell>
          <cell r="Y37" t="e">
            <v>#NAME?</v>
          </cell>
          <cell r="Z37" t="e">
            <v>#NAME?</v>
          </cell>
          <cell r="AA37" t="e">
            <v>#NAME?</v>
          </cell>
          <cell r="AB37" t="e">
            <v>#NAME?</v>
          </cell>
        </row>
        <row r="38">
          <cell r="L38">
            <v>105</v>
          </cell>
          <cell r="M38" t="e">
            <v>#NAME?</v>
          </cell>
          <cell r="N38" t="e">
            <v>#NAME?</v>
          </cell>
          <cell r="O38" t="e">
            <v>#NAME?</v>
          </cell>
          <cell r="P38" t="e">
            <v>#NAME?</v>
          </cell>
          <cell r="Q38" t="e">
            <v>#NAME?</v>
          </cell>
          <cell r="R38" t="e">
            <v>#NAME?</v>
          </cell>
          <cell r="S38" t="e">
            <v>#NAME?</v>
          </cell>
          <cell r="T38" t="e">
            <v>#NAME?</v>
          </cell>
          <cell r="U38" t="e">
            <v>#NAME?</v>
          </cell>
          <cell r="V38" t="e">
            <v>#NAME?</v>
          </cell>
          <cell r="W38" t="e">
            <v>#NAME?</v>
          </cell>
          <cell r="X38" t="e">
            <v>#NAME?</v>
          </cell>
          <cell r="Y38" t="e">
            <v>#NAME?</v>
          </cell>
          <cell r="Z38" t="e">
            <v>#NAME?</v>
          </cell>
          <cell r="AA38" t="e">
            <v>#NAME?</v>
          </cell>
          <cell r="AB38" t="e">
            <v>#NAME?</v>
          </cell>
        </row>
        <row r="39">
          <cell r="L39">
            <v>100</v>
          </cell>
          <cell r="M39" t="e">
            <v>#NAME?</v>
          </cell>
          <cell r="N39" t="e">
            <v>#NAME?</v>
          </cell>
          <cell r="O39" t="e">
            <v>#NAME?</v>
          </cell>
          <cell r="P39" t="e">
            <v>#NAME?</v>
          </cell>
          <cell r="Q39" t="e">
            <v>#NAME?</v>
          </cell>
          <cell r="R39" t="e">
            <v>#NAME?</v>
          </cell>
          <cell r="S39" t="e">
            <v>#NAME?</v>
          </cell>
          <cell r="T39" t="e">
            <v>#NAME?</v>
          </cell>
          <cell r="U39" t="e">
            <v>#NAME?</v>
          </cell>
          <cell r="V39" t="e">
            <v>#NAME?</v>
          </cell>
          <cell r="W39" t="e">
            <v>#NAME?</v>
          </cell>
          <cell r="X39" t="e">
            <v>#NAME?</v>
          </cell>
          <cell r="Y39" t="e">
            <v>#NAME?</v>
          </cell>
          <cell r="Z39" t="e">
            <v>#NAME?</v>
          </cell>
          <cell r="AA39" t="e">
            <v>#NAME?</v>
          </cell>
          <cell r="AB39" t="e">
            <v>#NAME?</v>
          </cell>
        </row>
        <row r="40">
          <cell r="L40">
            <v>95</v>
          </cell>
          <cell r="M40" t="e">
            <v>#NAME?</v>
          </cell>
          <cell r="N40" t="e">
            <v>#NAME?</v>
          </cell>
          <cell r="O40" t="e">
            <v>#NAME?</v>
          </cell>
          <cell r="P40" t="e">
            <v>#NAME?</v>
          </cell>
          <cell r="Q40" t="e">
            <v>#NAME?</v>
          </cell>
          <cell r="R40" t="e">
            <v>#NAME?</v>
          </cell>
          <cell r="S40" t="e">
            <v>#NAME?</v>
          </cell>
          <cell r="T40" t="e">
            <v>#NAME?</v>
          </cell>
          <cell r="U40" t="e">
            <v>#NAME?</v>
          </cell>
          <cell r="V40" t="e">
            <v>#NAME?</v>
          </cell>
          <cell r="W40" t="e">
            <v>#NAME?</v>
          </cell>
          <cell r="X40" t="e">
            <v>#NAME?</v>
          </cell>
          <cell r="Y40" t="e">
            <v>#NAME?</v>
          </cell>
          <cell r="Z40" t="e">
            <v>#NAME?</v>
          </cell>
          <cell r="AA40" t="e">
            <v>#NAME?</v>
          </cell>
          <cell r="AB40" t="e">
            <v>#NAME?</v>
          </cell>
        </row>
        <row r="41">
          <cell r="L41">
            <v>90</v>
          </cell>
          <cell r="M41" t="e">
            <v>#NAME?</v>
          </cell>
          <cell r="N41" t="e">
            <v>#NAME?</v>
          </cell>
          <cell r="O41" t="e">
            <v>#NAME?</v>
          </cell>
          <cell r="P41" t="e">
            <v>#NAME?</v>
          </cell>
          <cell r="Q41" t="e">
            <v>#NAME?</v>
          </cell>
          <cell r="R41" t="e">
            <v>#NAME?</v>
          </cell>
          <cell r="S41" t="e">
            <v>#NAME?</v>
          </cell>
          <cell r="T41" t="e">
            <v>#NAME?</v>
          </cell>
          <cell r="U41" t="e">
            <v>#NAME?</v>
          </cell>
          <cell r="V41" t="e">
            <v>#NAME?</v>
          </cell>
          <cell r="W41" t="e">
            <v>#NAME?</v>
          </cell>
          <cell r="X41" t="e">
            <v>#NAME?</v>
          </cell>
          <cell r="Y41" t="e">
            <v>#NAME?</v>
          </cell>
          <cell r="Z41" t="e">
            <v>#NAME?</v>
          </cell>
          <cell r="AA41" t="e">
            <v>#NAME?</v>
          </cell>
          <cell r="AB41" t="e">
            <v>#NAME?</v>
          </cell>
        </row>
        <row r="42">
          <cell r="L42">
            <v>85</v>
          </cell>
          <cell r="M42" t="e">
            <v>#NAME?</v>
          </cell>
          <cell r="N42" t="e">
            <v>#NAME?</v>
          </cell>
          <cell r="O42" t="e">
            <v>#NAME?</v>
          </cell>
          <cell r="P42" t="e">
            <v>#NAME?</v>
          </cell>
          <cell r="Q42" t="e">
            <v>#NAME?</v>
          </cell>
          <cell r="R42" t="e">
            <v>#NAME?</v>
          </cell>
          <cell r="S42" t="e">
            <v>#NAME?</v>
          </cell>
          <cell r="T42" t="e">
            <v>#NAME?</v>
          </cell>
          <cell r="U42" t="e">
            <v>#NAME?</v>
          </cell>
          <cell r="V42" t="e">
            <v>#NAME?</v>
          </cell>
          <cell r="W42" t="e">
            <v>#NAME?</v>
          </cell>
          <cell r="X42" t="e">
            <v>#NAME?</v>
          </cell>
          <cell r="Y42" t="e">
            <v>#NAME?</v>
          </cell>
          <cell r="Z42" t="e">
            <v>#NAME?</v>
          </cell>
          <cell r="AA42" t="e">
            <v>#NAME?</v>
          </cell>
          <cell r="AB42" t="e">
            <v>#NAME?</v>
          </cell>
        </row>
        <row r="43">
          <cell r="L43">
            <v>80</v>
          </cell>
          <cell r="M43" t="e">
            <v>#NAME?</v>
          </cell>
          <cell r="N43" t="e">
            <v>#NAME?</v>
          </cell>
          <cell r="O43" t="e">
            <v>#NAME?</v>
          </cell>
          <cell r="P43" t="e">
            <v>#NAME?</v>
          </cell>
          <cell r="Q43" t="e">
            <v>#NAME?</v>
          </cell>
          <cell r="R43" t="e">
            <v>#NAME?</v>
          </cell>
          <cell r="S43" t="e">
            <v>#NAME?</v>
          </cell>
          <cell r="T43" t="e">
            <v>#NAME?</v>
          </cell>
          <cell r="U43" t="e">
            <v>#NAME?</v>
          </cell>
          <cell r="V43" t="e">
            <v>#NAME?</v>
          </cell>
          <cell r="W43" t="e">
            <v>#NAME?</v>
          </cell>
          <cell r="X43" t="e">
            <v>#NAME?</v>
          </cell>
          <cell r="Y43" t="e">
            <v>#NAME?</v>
          </cell>
          <cell r="Z43" t="e">
            <v>#NAME?</v>
          </cell>
          <cell r="AA43" t="e">
            <v>#NAME?</v>
          </cell>
          <cell r="AB43" t="e">
            <v>#NAME?</v>
          </cell>
        </row>
        <row r="44">
          <cell r="L44">
            <v>75</v>
          </cell>
          <cell r="M44" t="e">
            <v>#NAME?</v>
          </cell>
          <cell r="N44" t="e">
            <v>#NAME?</v>
          </cell>
          <cell r="O44" t="e">
            <v>#NAME?</v>
          </cell>
          <cell r="P44" t="e">
            <v>#NAME?</v>
          </cell>
          <cell r="Q44" t="e">
            <v>#NAME?</v>
          </cell>
          <cell r="R44" t="e">
            <v>#NAME?</v>
          </cell>
          <cell r="S44" t="e">
            <v>#NAME?</v>
          </cell>
          <cell r="T44" t="e">
            <v>#NAME?</v>
          </cell>
          <cell r="U44" t="e">
            <v>#NAME?</v>
          </cell>
          <cell r="V44" t="e">
            <v>#NAME?</v>
          </cell>
          <cell r="W44" t="e">
            <v>#NAME?</v>
          </cell>
          <cell r="X44" t="e">
            <v>#NAME?</v>
          </cell>
          <cell r="Y44" t="e">
            <v>#NAME?</v>
          </cell>
          <cell r="Z44" t="e">
            <v>#NAME?</v>
          </cell>
          <cell r="AA44" t="e">
            <v>#NAME?</v>
          </cell>
          <cell r="AB44" t="e">
            <v>#NAME?</v>
          </cell>
        </row>
        <row r="45">
          <cell r="L45">
            <v>70</v>
          </cell>
          <cell r="M45" t="e">
            <v>#NAME?</v>
          </cell>
          <cell r="N45" t="e">
            <v>#NAME?</v>
          </cell>
          <cell r="O45" t="e">
            <v>#NAME?</v>
          </cell>
          <cell r="P45" t="e">
            <v>#NAME?</v>
          </cell>
          <cell r="Q45" t="e">
            <v>#NAME?</v>
          </cell>
          <cell r="R45" t="e">
            <v>#NAME?</v>
          </cell>
          <cell r="S45" t="e">
            <v>#NAME?</v>
          </cell>
          <cell r="T45" t="e">
            <v>#NAME?</v>
          </cell>
          <cell r="U45" t="e">
            <v>#NAME?</v>
          </cell>
          <cell r="V45" t="e">
            <v>#NAME?</v>
          </cell>
          <cell r="W45" t="e">
            <v>#NAME?</v>
          </cell>
          <cell r="X45" t="e">
            <v>#NAME?</v>
          </cell>
          <cell r="Y45" t="e">
            <v>#NAME?</v>
          </cell>
          <cell r="Z45" t="e">
            <v>#NAME?</v>
          </cell>
          <cell r="AA45" t="e">
            <v>#NAME?</v>
          </cell>
          <cell r="AB45" t="e">
            <v>#NAME?</v>
          </cell>
        </row>
        <row r="46">
          <cell r="L46">
            <v>65</v>
          </cell>
          <cell r="M46" t="e">
            <v>#NAME?</v>
          </cell>
          <cell r="N46" t="e">
            <v>#NAME?</v>
          </cell>
          <cell r="O46" t="e">
            <v>#NAME?</v>
          </cell>
          <cell r="P46" t="e">
            <v>#NAME?</v>
          </cell>
          <cell r="Q46" t="e">
            <v>#NAME?</v>
          </cell>
          <cell r="R46" t="e">
            <v>#NAME?</v>
          </cell>
          <cell r="S46" t="e">
            <v>#NAME?</v>
          </cell>
          <cell r="T46" t="e">
            <v>#NAME?</v>
          </cell>
          <cell r="U46" t="e">
            <v>#NAME?</v>
          </cell>
          <cell r="V46" t="e">
            <v>#NAME?</v>
          </cell>
          <cell r="W46" t="e">
            <v>#NAME?</v>
          </cell>
          <cell r="X46" t="e">
            <v>#NAME?</v>
          </cell>
          <cell r="Y46" t="e">
            <v>#NAME?</v>
          </cell>
          <cell r="Z46" t="e">
            <v>#NAME?</v>
          </cell>
          <cell r="AA46" t="e">
            <v>#NAME?</v>
          </cell>
          <cell r="AB46" t="e">
            <v>#NAME?</v>
          </cell>
        </row>
        <row r="47">
          <cell r="L47">
            <v>60</v>
          </cell>
          <cell r="M47" t="e">
            <v>#NAME?</v>
          </cell>
          <cell r="N47" t="e">
            <v>#NAME?</v>
          </cell>
          <cell r="O47" t="e">
            <v>#NAME?</v>
          </cell>
          <cell r="P47" t="e">
            <v>#NAME?</v>
          </cell>
          <cell r="Q47" t="e">
            <v>#NAME?</v>
          </cell>
          <cell r="R47" t="e">
            <v>#NAME?</v>
          </cell>
          <cell r="S47" t="e">
            <v>#NAME?</v>
          </cell>
          <cell r="T47" t="e">
            <v>#NAME?</v>
          </cell>
          <cell r="U47" t="e">
            <v>#NAME?</v>
          </cell>
          <cell r="V47" t="e">
            <v>#NAME?</v>
          </cell>
          <cell r="W47" t="e">
            <v>#NAME?</v>
          </cell>
          <cell r="X47" t="e">
            <v>#NAME?</v>
          </cell>
          <cell r="Y47" t="e">
            <v>#NAME?</v>
          </cell>
          <cell r="Z47" t="e">
            <v>#NAME?</v>
          </cell>
          <cell r="AA47" t="e">
            <v>#NAME?</v>
          </cell>
          <cell r="AB47" t="e">
            <v>#NAME?</v>
          </cell>
        </row>
        <row r="48">
          <cell r="L48">
            <v>55</v>
          </cell>
          <cell r="M48" t="e">
            <v>#NAME?</v>
          </cell>
          <cell r="N48" t="e">
            <v>#NAME?</v>
          </cell>
          <cell r="O48" t="e">
            <v>#NAME?</v>
          </cell>
          <cell r="P48" t="e">
            <v>#NAME?</v>
          </cell>
          <cell r="Q48" t="e">
            <v>#NAME?</v>
          </cell>
          <cell r="R48" t="e">
            <v>#NAME?</v>
          </cell>
          <cell r="S48" t="e">
            <v>#NAME?</v>
          </cell>
          <cell r="T48" t="e">
            <v>#NAME?</v>
          </cell>
          <cell r="U48" t="e">
            <v>#NAME?</v>
          </cell>
          <cell r="V48" t="e">
            <v>#NAME?</v>
          </cell>
          <cell r="W48" t="e">
            <v>#NAME?</v>
          </cell>
          <cell r="X48" t="e">
            <v>#NAME?</v>
          </cell>
          <cell r="Y48" t="e">
            <v>#NAME?</v>
          </cell>
          <cell r="Z48" t="e">
            <v>#NAME?</v>
          </cell>
          <cell r="AA48" t="e">
            <v>#NAME?</v>
          </cell>
          <cell r="AB48" t="e">
            <v>#NAME?</v>
          </cell>
        </row>
        <row r="49">
          <cell r="L49">
            <v>50</v>
          </cell>
          <cell r="M49" t="e">
            <v>#NAME?</v>
          </cell>
          <cell r="N49" t="e">
            <v>#NAME?</v>
          </cell>
          <cell r="O49" t="e">
            <v>#NAME?</v>
          </cell>
          <cell r="P49" t="e">
            <v>#NAME?</v>
          </cell>
          <cell r="Q49" t="e">
            <v>#NAME?</v>
          </cell>
          <cell r="R49" t="e">
            <v>#NAME?</v>
          </cell>
          <cell r="S49" t="e">
            <v>#NAME?</v>
          </cell>
          <cell r="T49" t="e">
            <v>#NAME?</v>
          </cell>
          <cell r="U49" t="e">
            <v>#NAME?</v>
          </cell>
          <cell r="V49" t="e">
            <v>#NAME?</v>
          </cell>
          <cell r="W49" t="e">
            <v>#NAME?</v>
          </cell>
          <cell r="X49" t="e">
            <v>#NAME?</v>
          </cell>
          <cell r="Y49" t="e">
            <v>#NAME?</v>
          </cell>
          <cell r="Z49" t="e">
            <v>#NAME?</v>
          </cell>
          <cell r="AA49" t="e">
            <v>#NAME?</v>
          </cell>
          <cell r="AB49" t="e">
            <v>#NAME?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51"/>
  <sheetViews>
    <sheetView tabSelected="1" workbookViewId="0">
      <selection activeCell="D6" sqref="D6"/>
    </sheetView>
  </sheetViews>
  <sheetFormatPr defaultColWidth="8.875" defaultRowHeight="12.75"/>
  <cols>
    <col min="1" max="1" width="3.125" style="3" customWidth="1"/>
    <col min="2" max="2" width="26.375" style="3" bestFit="1" customWidth="1"/>
    <col min="3" max="3" width="18.125" style="3" customWidth="1"/>
    <col min="4" max="4" width="13.875" style="3" customWidth="1"/>
    <col min="5" max="5" width="3" style="3" hidden="1" customWidth="1"/>
    <col min="6" max="6" width="15.125" style="3" customWidth="1"/>
    <col min="7" max="7" width="15.875" style="3" customWidth="1"/>
    <col min="8" max="8" width="20" style="3" customWidth="1"/>
    <col min="9" max="11" width="9.75" style="3" customWidth="1"/>
    <col min="12" max="12" width="12.125" style="3" customWidth="1"/>
    <col min="13" max="13" width="8.875" style="3" customWidth="1"/>
    <col min="14" max="14" width="9.75" style="3" customWidth="1"/>
    <col min="15" max="256" width="8.875" style="3"/>
    <col min="257" max="257" width="3.125" style="3" customWidth="1"/>
    <col min="258" max="258" width="26.375" style="3" bestFit="1" customWidth="1"/>
    <col min="259" max="259" width="18.125" style="3" customWidth="1"/>
    <col min="260" max="260" width="13.875" style="3" customWidth="1"/>
    <col min="261" max="261" width="3" style="3" customWidth="1"/>
    <col min="262" max="262" width="15.125" style="3" customWidth="1"/>
    <col min="263" max="263" width="15.875" style="3" customWidth="1"/>
    <col min="264" max="264" width="20" style="3" customWidth="1"/>
    <col min="265" max="267" width="9.75" style="3" customWidth="1"/>
    <col min="268" max="268" width="12.125" style="3" customWidth="1"/>
    <col min="269" max="269" width="8.875" style="3" customWidth="1"/>
    <col min="270" max="270" width="9.75" style="3" customWidth="1"/>
    <col min="271" max="512" width="8.875" style="3"/>
    <col min="513" max="513" width="3.125" style="3" customWidth="1"/>
    <col min="514" max="514" width="26.375" style="3" bestFit="1" customWidth="1"/>
    <col min="515" max="515" width="18.125" style="3" customWidth="1"/>
    <col min="516" max="516" width="13.875" style="3" customWidth="1"/>
    <col min="517" max="517" width="3" style="3" customWidth="1"/>
    <col min="518" max="518" width="15.125" style="3" customWidth="1"/>
    <col min="519" max="519" width="15.875" style="3" customWidth="1"/>
    <col min="520" max="520" width="20" style="3" customWidth="1"/>
    <col min="521" max="523" width="9.75" style="3" customWidth="1"/>
    <col min="524" max="524" width="12.125" style="3" customWidth="1"/>
    <col min="525" max="525" width="8.875" style="3" customWidth="1"/>
    <col min="526" max="526" width="9.75" style="3" customWidth="1"/>
    <col min="527" max="768" width="8.875" style="3"/>
    <col min="769" max="769" width="3.125" style="3" customWidth="1"/>
    <col min="770" max="770" width="26.375" style="3" bestFit="1" customWidth="1"/>
    <col min="771" max="771" width="18.125" style="3" customWidth="1"/>
    <col min="772" max="772" width="13.875" style="3" customWidth="1"/>
    <col min="773" max="773" width="3" style="3" customWidth="1"/>
    <col min="774" max="774" width="15.125" style="3" customWidth="1"/>
    <col min="775" max="775" width="15.875" style="3" customWidth="1"/>
    <col min="776" max="776" width="20" style="3" customWidth="1"/>
    <col min="777" max="779" width="9.75" style="3" customWidth="1"/>
    <col min="780" max="780" width="12.125" style="3" customWidth="1"/>
    <col min="781" max="781" width="8.875" style="3" customWidth="1"/>
    <col min="782" max="782" width="9.75" style="3" customWidth="1"/>
    <col min="783" max="1024" width="8.875" style="3"/>
    <col min="1025" max="1025" width="3.125" style="3" customWidth="1"/>
    <col min="1026" max="1026" width="26.375" style="3" bestFit="1" customWidth="1"/>
    <col min="1027" max="1027" width="18.125" style="3" customWidth="1"/>
    <col min="1028" max="1028" width="13.875" style="3" customWidth="1"/>
    <col min="1029" max="1029" width="3" style="3" customWidth="1"/>
    <col min="1030" max="1030" width="15.125" style="3" customWidth="1"/>
    <col min="1031" max="1031" width="15.875" style="3" customWidth="1"/>
    <col min="1032" max="1032" width="20" style="3" customWidth="1"/>
    <col min="1033" max="1035" width="9.75" style="3" customWidth="1"/>
    <col min="1036" max="1036" width="12.125" style="3" customWidth="1"/>
    <col min="1037" max="1037" width="8.875" style="3" customWidth="1"/>
    <col min="1038" max="1038" width="9.75" style="3" customWidth="1"/>
    <col min="1039" max="1280" width="8.875" style="3"/>
    <col min="1281" max="1281" width="3.125" style="3" customWidth="1"/>
    <col min="1282" max="1282" width="26.375" style="3" bestFit="1" customWidth="1"/>
    <col min="1283" max="1283" width="18.125" style="3" customWidth="1"/>
    <col min="1284" max="1284" width="13.875" style="3" customWidth="1"/>
    <col min="1285" max="1285" width="3" style="3" customWidth="1"/>
    <col min="1286" max="1286" width="15.125" style="3" customWidth="1"/>
    <col min="1287" max="1287" width="15.875" style="3" customWidth="1"/>
    <col min="1288" max="1288" width="20" style="3" customWidth="1"/>
    <col min="1289" max="1291" width="9.75" style="3" customWidth="1"/>
    <col min="1292" max="1292" width="12.125" style="3" customWidth="1"/>
    <col min="1293" max="1293" width="8.875" style="3" customWidth="1"/>
    <col min="1294" max="1294" width="9.75" style="3" customWidth="1"/>
    <col min="1295" max="1536" width="8.875" style="3"/>
    <col min="1537" max="1537" width="3.125" style="3" customWidth="1"/>
    <col min="1538" max="1538" width="26.375" style="3" bestFit="1" customWidth="1"/>
    <col min="1539" max="1539" width="18.125" style="3" customWidth="1"/>
    <col min="1540" max="1540" width="13.875" style="3" customWidth="1"/>
    <col min="1541" max="1541" width="3" style="3" customWidth="1"/>
    <col min="1542" max="1542" width="15.125" style="3" customWidth="1"/>
    <col min="1543" max="1543" width="15.875" style="3" customWidth="1"/>
    <col min="1544" max="1544" width="20" style="3" customWidth="1"/>
    <col min="1545" max="1547" width="9.75" style="3" customWidth="1"/>
    <col min="1548" max="1548" width="12.125" style="3" customWidth="1"/>
    <col min="1549" max="1549" width="8.875" style="3" customWidth="1"/>
    <col min="1550" max="1550" width="9.75" style="3" customWidth="1"/>
    <col min="1551" max="1792" width="8.875" style="3"/>
    <col min="1793" max="1793" width="3.125" style="3" customWidth="1"/>
    <col min="1794" max="1794" width="26.375" style="3" bestFit="1" customWidth="1"/>
    <col min="1795" max="1795" width="18.125" style="3" customWidth="1"/>
    <col min="1796" max="1796" width="13.875" style="3" customWidth="1"/>
    <col min="1797" max="1797" width="3" style="3" customWidth="1"/>
    <col min="1798" max="1798" width="15.125" style="3" customWidth="1"/>
    <col min="1799" max="1799" width="15.875" style="3" customWidth="1"/>
    <col min="1800" max="1800" width="20" style="3" customWidth="1"/>
    <col min="1801" max="1803" width="9.75" style="3" customWidth="1"/>
    <col min="1804" max="1804" width="12.125" style="3" customWidth="1"/>
    <col min="1805" max="1805" width="8.875" style="3" customWidth="1"/>
    <col min="1806" max="1806" width="9.75" style="3" customWidth="1"/>
    <col min="1807" max="2048" width="8.875" style="3"/>
    <col min="2049" max="2049" width="3.125" style="3" customWidth="1"/>
    <col min="2050" max="2050" width="26.375" style="3" bestFit="1" customWidth="1"/>
    <col min="2051" max="2051" width="18.125" style="3" customWidth="1"/>
    <col min="2052" max="2052" width="13.875" style="3" customWidth="1"/>
    <col min="2053" max="2053" width="3" style="3" customWidth="1"/>
    <col min="2054" max="2054" width="15.125" style="3" customWidth="1"/>
    <col min="2055" max="2055" width="15.875" style="3" customWidth="1"/>
    <col min="2056" max="2056" width="20" style="3" customWidth="1"/>
    <col min="2057" max="2059" width="9.75" style="3" customWidth="1"/>
    <col min="2060" max="2060" width="12.125" style="3" customWidth="1"/>
    <col min="2061" max="2061" width="8.875" style="3" customWidth="1"/>
    <col min="2062" max="2062" width="9.75" style="3" customWidth="1"/>
    <col min="2063" max="2304" width="8.875" style="3"/>
    <col min="2305" max="2305" width="3.125" style="3" customWidth="1"/>
    <col min="2306" max="2306" width="26.375" style="3" bestFit="1" customWidth="1"/>
    <col min="2307" max="2307" width="18.125" style="3" customWidth="1"/>
    <col min="2308" max="2308" width="13.875" style="3" customWidth="1"/>
    <col min="2309" max="2309" width="3" style="3" customWidth="1"/>
    <col min="2310" max="2310" width="15.125" style="3" customWidth="1"/>
    <col min="2311" max="2311" width="15.875" style="3" customWidth="1"/>
    <col min="2312" max="2312" width="20" style="3" customWidth="1"/>
    <col min="2313" max="2315" width="9.75" style="3" customWidth="1"/>
    <col min="2316" max="2316" width="12.125" style="3" customWidth="1"/>
    <col min="2317" max="2317" width="8.875" style="3" customWidth="1"/>
    <col min="2318" max="2318" width="9.75" style="3" customWidth="1"/>
    <col min="2319" max="2560" width="8.875" style="3"/>
    <col min="2561" max="2561" width="3.125" style="3" customWidth="1"/>
    <col min="2562" max="2562" width="26.375" style="3" bestFit="1" customWidth="1"/>
    <col min="2563" max="2563" width="18.125" style="3" customWidth="1"/>
    <col min="2564" max="2564" width="13.875" style="3" customWidth="1"/>
    <col min="2565" max="2565" width="3" style="3" customWidth="1"/>
    <col min="2566" max="2566" width="15.125" style="3" customWidth="1"/>
    <col min="2567" max="2567" width="15.875" style="3" customWidth="1"/>
    <col min="2568" max="2568" width="20" style="3" customWidth="1"/>
    <col min="2569" max="2571" width="9.75" style="3" customWidth="1"/>
    <col min="2572" max="2572" width="12.125" style="3" customWidth="1"/>
    <col min="2573" max="2573" width="8.875" style="3" customWidth="1"/>
    <col min="2574" max="2574" width="9.75" style="3" customWidth="1"/>
    <col min="2575" max="2816" width="8.875" style="3"/>
    <col min="2817" max="2817" width="3.125" style="3" customWidth="1"/>
    <col min="2818" max="2818" width="26.375" style="3" bestFit="1" customWidth="1"/>
    <col min="2819" max="2819" width="18.125" style="3" customWidth="1"/>
    <col min="2820" max="2820" width="13.875" style="3" customWidth="1"/>
    <col min="2821" max="2821" width="3" style="3" customWidth="1"/>
    <col min="2822" max="2822" width="15.125" style="3" customWidth="1"/>
    <col min="2823" max="2823" width="15.875" style="3" customWidth="1"/>
    <col min="2824" max="2824" width="20" style="3" customWidth="1"/>
    <col min="2825" max="2827" width="9.75" style="3" customWidth="1"/>
    <col min="2828" max="2828" width="12.125" style="3" customWidth="1"/>
    <col min="2829" max="2829" width="8.875" style="3" customWidth="1"/>
    <col min="2830" max="2830" width="9.75" style="3" customWidth="1"/>
    <col min="2831" max="3072" width="8.875" style="3"/>
    <col min="3073" max="3073" width="3.125" style="3" customWidth="1"/>
    <col min="3074" max="3074" width="26.375" style="3" bestFit="1" customWidth="1"/>
    <col min="3075" max="3075" width="18.125" style="3" customWidth="1"/>
    <col min="3076" max="3076" width="13.875" style="3" customWidth="1"/>
    <col min="3077" max="3077" width="3" style="3" customWidth="1"/>
    <col min="3078" max="3078" width="15.125" style="3" customWidth="1"/>
    <col min="3079" max="3079" width="15.875" style="3" customWidth="1"/>
    <col min="3080" max="3080" width="20" style="3" customWidth="1"/>
    <col min="3081" max="3083" width="9.75" style="3" customWidth="1"/>
    <col min="3084" max="3084" width="12.125" style="3" customWidth="1"/>
    <col min="3085" max="3085" width="8.875" style="3" customWidth="1"/>
    <col min="3086" max="3086" width="9.75" style="3" customWidth="1"/>
    <col min="3087" max="3328" width="8.875" style="3"/>
    <col min="3329" max="3329" width="3.125" style="3" customWidth="1"/>
    <col min="3330" max="3330" width="26.375" style="3" bestFit="1" customWidth="1"/>
    <col min="3331" max="3331" width="18.125" style="3" customWidth="1"/>
    <col min="3332" max="3332" width="13.875" style="3" customWidth="1"/>
    <col min="3333" max="3333" width="3" style="3" customWidth="1"/>
    <col min="3334" max="3334" width="15.125" style="3" customWidth="1"/>
    <col min="3335" max="3335" width="15.875" style="3" customWidth="1"/>
    <col min="3336" max="3336" width="20" style="3" customWidth="1"/>
    <col min="3337" max="3339" width="9.75" style="3" customWidth="1"/>
    <col min="3340" max="3340" width="12.125" style="3" customWidth="1"/>
    <col min="3341" max="3341" width="8.875" style="3" customWidth="1"/>
    <col min="3342" max="3342" width="9.75" style="3" customWidth="1"/>
    <col min="3343" max="3584" width="8.875" style="3"/>
    <col min="3585" max="3585" width="3.125" style="3" customWidth="1"/>
    <col min="3586" max="3586" width="26.375" style="3" bestFit="1" customWidth="1"/>
    <col min="3587" max="3587" width="18.125" style="3" customWidth="1"/>
    <col min="3588" max="3588" width="13.875" style="3" customWidth="1"/>
    <col min="3589" max="3589" width="3" style="3" customWidth="1"/>
    <col min="3590" max="3590" width="15.125" style="3" customWidth="1"/>
    <col min="3591" max="3591" width="15.875" style="3" customWidth="1"/>
    <col min="3592" max="3592" width="20" style="3" customWidth="1"/>
    <col min="3593" max="3595" width="9.75" style="3" customWidth="1"/>
    <col min="3596" max="3596" width="12.125" style="3" customWidth="1"/>
    <col min="3597" max="3597" width="8.875" style="3" customWidth="1"/>
    <col min="3598" max="3598" width="9.75" style="3" customWidth="1"/>
    <col min="3599" max="3840" width="8.875" style="3"/>
    <col min="3841" max="3841" width="3.125" style="3" customWidth="1"/>
    <col min="3842" max="3842" width="26.375" style="3" bestFit="1" customWidth="1"/>
    <col min="3843" max="3843" width="18.125" style="3" customWidth="1"/>
    <col min="3844" max="3844" width="13.875" style="3" customWidth="1"/>
    <col min="3845" max="3845" width="3" style="3" customWidth="1"/>
    <col min="3846" max="3846" width="15.125" style="3" customWidth="1"/>
    <col min="3847" max="3847" width="15.875" style="3" customWidth="1"/>
    <col min="3848" max="3848" width="20" style="3" customWidth="1"/>
    <col min="3849" max="3851" width="9.75" style="3" customWidth="1"/>
    <col min="3852" max="3852" width="12.125" style="3" customWidth="1"/>
    <col min="3853" max="3853" width="8.875" style="3" customWidth="1"/>
    <col min="3854" max="3854" width="9.75" style="3" customWidth="1"/>
    <col min="3855" max="4096" width="8.875" style="3"/>
    <col min="4097" max="4097" width="3.125" style="3" customWidth="1"/>
    <col min="4098" max="4098" width="26.375" style="3" bestFit="1" customWidth="1"/>
    <col min="4099" max="4099" width="18.125" style="3" customWidth="1"/>
    <col min="4100" max="4100" width="13.875" style="3" customWidth="1"/>
    <col min="4101" max="4101" width="3" style="3" customWidth="1"/>
    <col min="4102" max="4102" width="15.125" style="3" customWidth="1"/>
    <col min="4103" max="4103" width="15.875" style="3" customWidth="1"/>
    <col min="4104" max="4104" width="20" style="3" customWidth="1"/>
    <col min="4105" max="4107" width="9.75" style="3" customWidth="1"/>
    <col min="4108" max="4108" width="12.125" style="3" customWidth="1"/>
    <col min="4109" max="4109" width="8.875" style="3" customWidth="1"/>
    <col min="4110" max="4110" width="9.75" style="3" customWidth="1"/>
    <col min="4111" max="4352" width="8.875" style="3"/>
    <col min="4353" max="4353" width="3.125" style="3" customWidth="1"/>
    <col min="4354" max="4354" width="26.375" style="3" bestFit="1" customWidth="1"/>
    <col min="4355" max="4355" width="18.125" style="3" customWidth="1"/>
    <col min="4356" max="4356" width="13.875" style="3" customWidth="1"/>
    <col min="4357" max="4357" width="3" style="3" customWidth="1"/>
    <col min="4358" max="4358" width="15.125" style="3" customWidth="1"/>
    <col min="4359" max="4359" width="15.875" style="3" customWidth="1"/>
    <col min="4360" max="4360" width="20" style="3" customWidth="1"/>
    <col min="4361" max="4363" width="9.75" style="3" customWidth="1"/>
    <col min="4364" max="4364" width="12.125" style="3" customWidth="1"/>
    <col min="4365" max="4365" width="8.875" style="3" customWidth="1"/>
    <col min="4366" max="4366" width="9.75" style="3" customWidth="1"/>
    <col min="4367" max="4608" width="8.875" style="3"/>
    <col min="4609" max="4609" width="3.125" style="3" customWidth="1"/>
    <col min="4610" max="4610" width="26.375" style="3" bestFit="1" customWidth="1"/>
    <col min="4611" max="4611" width="18.125" style="3" customWidth="1"/>
    <col min="4612" max="4612" width="13.875" style="3" customWidth="1"/>
    <col min="4613" max="4613" width="3" style="3" customWidth="1"/>
    <col min="4614" max="4614" width="15.125" style="3" customWidth="1"/>
    <col min="4615" max="4615" width="15.875" style="3" customWidth="1"/>
    <col min="4616" max="4616" width="20" style="3" customWidth="1"/>
    <col min="4617" max="4619" width="9.75" style="3" customWidth="1"/>
    <col min="4620" max="4620" width="12.125" style="3" customWidth="1"/>
    <col min="4621" max="4621" width="8.875" style="3" customWidth="1"/>
    <col min="4622" max="4622" width="9.75" style="3" customWidth="1"/>
    <col min="4623" max="4864" width="8.875" style="3"/>
    <col min="4865" max="4865" width="3.125" style="3" customWidth="1"/>
    <col min="4866" max="4866" width="26.375" style="3" bestFit="1" customWidth="1"/>
    <col min="4867" max="4867" width="18.125" style="3" customWidth="1"/>
    <col min="4868" max="4868" width="13.875" style="3" customWidth="1"/>
    <col min="4869" max="4869" width="3" style="3" customWidth="1"/>
    <col min="4870" max="4870" width="15.125" style="3" customWidth="1"/>
    <col min="4871" max="4871" width="15.875" style="3" customWidth="1"/>
    <col min="4872" max="4872" width="20" style="3" customWidth="1"/>
    <col min="4873" max="4875" width="9.75" style="3" customWidth="1"/>
    <col min="4876" max="4876" width="12.125" style="3" customWidth="1"/>
    <col min="4877" max="4877" width="8.875" style="3" customWidth="1"/>
    <col min="4878" max="4878" width="9.75" style="3" customWidth="1"/>
    <col min="4879" max="5120" width="8.875" style="3"/>
    <col min="5121" max="5121" width="3.125" style="3" customWidth="1"/>
    <col min="5122" max="5122" width="26.375" style="3" bestFit="1" customWidth="1"/>
    <col min="5123" max="5123" width="18.125" style="3" customWidth="1"/>
    <col min="5124" max="5124" width="13.875" style="3" customWidth="1"/>
    <col min="5125" max="5125" width="3" style="3" customWidth="1"/>
    <col min="5126" max="5126" width="15.125" style="3" customWidth="1"/>
    <col min="5127" max="5127" width="15.875" style="3" customWidth="1"/>
    <col min="5128" max="5128" width="20" style="3" customWidth="1"/>
    <col min="5129" max="5131" width="9.75" style="3" customWidth="1"/>
    <col min="5132" max="5132" width="12.125" style="3" customWidth="1"/>
    <col min="5133" max="5133" width="8.875" style="3" customWidth="1"/>
    <col min="5134" max="5134" width="9.75" style="3" customWidth="1"/>
    <col min="5135" max="5376" width="8.875" style="3"/>
    <col min="5377" max="5377" width="3.125" style="3" customWidth="1"/>
    <col min="5378" max="5378" width="26.375" style="3" bestFit="1" customWidth="1"/>
    <col min="5379" max="5379" width="18.125" style="3" customWidth="1"/>
    <col min="5380" max="5380" width="13.875" style="3" customWidth="1"/>
    <col min="5381" max="5381" width="3" style="3" customWidth="1"/>
    <col min="5382" max="5382" width="15.125" style="3" customWidth="1"/>
    <col min="5383" max="5383" width="15.875" style="3" customWidth="1"/>
    <col min="5384" max="5384" width="20" style="3" customWidth="1"/>
    <col min="5385" max="5387" width="9.75" style="3" customWidth="1"/>
    <col min="5388" max="5388" width="12.125" style="3" customWidth="1"/>
    <col min="5389" max="5389" width="8.875" style="3" customWidth="1"/>
    <col min="5390" max="5390" width="9.75" style="3" customWidth="1"/>
    <col min="5391" max="5632" width="8.875" style="3"/>
    <col min="5633" max="5633" width="3.125" style="3" customWidth="1"/>
    <col min="5634" max="5634" width="26.375" style="3" bestFit="1" customWidth="1"/>
    <col min="5635" max="5635" width="18.125" style="3" customWidth="1"/>
    <col min="5636" max="5636" width="13.875" style="3" customWidth="1"/>
    <col min="5637" max="5637" width="3" style="3" customWidth="1"/>
    <col min="5638" max="5638" width="15.125" style="3" customWidth="1"/>
    <col min="5639" max="5639" width="15.875" style="3" customWidth="1"/>
    <col min="5640" max="5640" width="20" style="3" customWidth="1"/>
    <col min="5641" max="5643" width="9.75" style="3" customWidth="1"/>
    <col min="5644" max="5644" width="12.125" style="3" customWidth="1"/>
    <col min="5645" max="5645" width="8.875" style="3" customWidth="1"/>
    <col min="5646" max="5646" width="9.75" style="3" customWidth="1"/>
    <col min="5647" max="5888" width="8.875" style="3"/>
    <col min="5889" max="5889" width="3.125" style="3" customWidth="1"/>
    <col min="5890" max="5890" width="26.375" style="3" bestFit="1" customWidth="1"/>
    <col min="5891" max="5891" width="18.125" style="3" customWidth="1"/>
    <col min="5892" max="5892" width="13.875" style="3" customWidth="1"/>
    <col min="5893" max="5893" width="3" style="3" customWidth="1"/>
    <col min="5894" max="5894" width="15.125" style="3" customWidth="1"/>
    <col min="5895" max="5895" width="15.875" style="3" customWidth="1"/>
    <col min="5896" max="5896" width="20" style="3" customWidth="1"/>
    <col min="5897" max="5899" width="9.75" style="3" customWidth="1"/>
    <col min="5900" max="5900" width="12.125" style="3" customWidth="1"/>
    <col min="5901" max="5901" width="8.875" style="3" customWidth="1"/>
    <col min="5902" max="5902" width="9.75" style="3" customWidth="1"/>
    <col min="5903" max="6144" width="8.875" style="3"/>
    <col min="6145" max="6145" width="3.125" style="3" customWidth="1"/>
    <col min="6146" max="6146" width="26.375" style="3" bestFit="1" customWidth="1"/>
    <col min="6147" max="6147" width="18.125" style="3" customWidth="1"/>
    <col min="6148" max="6148" width="13.875" style="3" customWidth="1"/>
    <col min="6149" max="6149" width="3" style="3" customWidth="1"/>
    <col min="6150" max="6150" width="15.125" style="3" customWidth="1"/>
    <col min="6151" max="6151" width="15.875" style="3" customWidth="1"/>
    <col min="6152" max="6152" width="20" style="3" customWidth="1"/>
    <col min="6153" max="6155" width="9.75" style="3" customWidth="1"/>
    <col min="6156" max="6156" width="12.125" style="3" customWidth="1"/>
    <col min="6157" max="6157" width="8.875" style="3" customWidth="1"/>
    <col min="6158" max="6158" width="9.75" style="3" customWidth="1"/>
    <col min="6159" max="6400" width="8.875" style="3"/>
    <col min="6401" max="6401" width="3.125" style="3" customWidth="1"/>
    <col min="6402" max="6402" width="26.375" style="3" bestFit="1" customWidth="1"/>
    <col min="6403" max="6403" width="18.125" style="3" customWidth="1"/>
    <col min="6404" max="6404" width="13.875" style="3" customWidth="1"/>
    <col min="6405" max="6405" width="3" style="3" customWidth="1"/>
    <col min="6406" max="6406" width="15.125" style="3" customWidth="1"/>
    <col min="6407" max="6407" width="15.875" style="3" customWidth="1"/>
    <col min="6408" max="6408" width="20" style="3" customWidth="1"/>
    <col min="6409" max="6411" width="9.75" style="3" customWidth="1"/>
    <col min="6412" max="6412" width="12.125" style="3" customWidth="1"/>
    <col min="6413" max="6413" width="8.875" style="3" customWidth="1"/>
    <col min="6414" max="6414" width="9.75" style="3" customWidth="1"/>
    <col min="6415" max="6656" width="8.875" style="3"/>
    <col min="6657" max="6657" width="3.125" style="3" customWidth="1"/>
    <col min="6658" max="6658" width="26.375" style="3" bestFit="1" customWidth="1"/>
    <col min="6659" max="6659" width="18.125" style="3" customWidth="1"/>
    <col min="6660" max="6660" width="13.875" style="3" customWidth="1"/>
    <col min="6661" max="6661" width="3" style="3" customWidth="1"/>
    <col min="6662" max="6662" width="15.125" style="3" customWidth="1"/>
    <col min="6663" max="6663" width="15.875" style="3" customWidth="1"/>
    <col min="6664" max="6664" width="20" style="3" customWidth="1"/>
    <col min="6665" max="6667" width="9.75" style="3" customWidth="1"/>
    <col min="6668" max="6668" width="12.125" style="3" customWidth="1"/>
    <col min="6669" max="6669" width="8.875" style="3" customWidth="1"/>
    <col min="6670" max="6670" width="9.75" style="3" customWidth="1"/>
    <col min="6671" max="6912" width="8.875" style="3"/>
    <col min="6913" max="6913" width="3.125" style="3" customWidth="1"/>
    <col min="6914" max="6914" width="26.375" style="3" bestFit="1" customWidth="1"/>
    <col min="6915" max="6915" width="18.125" style="3" customWidth="1"/>
    <col min="6916" max="6916" width="13.875" style="3" customWidth="1"/>
    <col min="6917" max="6917" width="3" style="3" customWidth="1"/>
    <col min="6918" max="6918" width="15.125" style="3" customWidth="1"/>
    <col min="6919" max="6919" width="15.875" style="3" customWidth="1"/>
    <col min="6920" max="6920" width="20" style="3" customWidth="1"/>
    <col min="6921" max="6923" width="9.75" style="3" customWidth="1"/>
    <col min="6924" max="6924" width="12.125" style="3" customWidth="1"/>
    <col min="6925" max="6925" width="8.875" style="3" customWidth="1"/>
    <col min="6926" max="6926" width="9.75" style="3" customWidth="1"/>
    <col min="6927" max="7168" width="8.875" style="3"/>
    <col min="7169" max="7169" width="3.125" style="3" customWidth="1"/>
    <col min="7170" max="7170" width="26.375" style="3" bestFit="1" customWidth="1"/>
    <col min="7171" max="7171" width="18.125" style="3" customWidth="1"/>
    <col min="7172" max="7172" width="13.875" style="3" customWidth="1"/>
    <col min="7173" max="7173" width="3" style="3" customWidth="1"/>
    <col min="7174" max="7174" width="15.125" style="3" customWidth="1"/>
    <col min="7175" max="7175" width="15.875" style="3" customWidth="1"/>
    <col min="7176" max="7176" width="20" style="3" customWidth="1"/>
    <col min="7177" max="7179" width="9.75" style="3" customWidth="1"/>
    <col min="7180" max="7180" width="12.125" style="3" customWidth="1"/>
    <col min="7181" max="7181" width="8.875" style="3" customWidth="1"/>
    <col min="7182" max="7182" width="9.75" style="3" customWidth="1"/>
    <col min="7183" max="7424" width="8.875" style="3"/>
    <col min="7425" max="7425" width="3.125" style="3" customWidth="1"/>
    <col min="7426" max="7426" width="26.375" style="3" bestFit="1" customWidth="1"/>
    <col min="7427" max="7427" width="18.125" style="3" customWidth="1"/>
    <col min="7428" max="7428" width="13.875" style="3" customWidth="1"/>
    <col min="7429" max="7429" width="3" style="3" customWidth="1"/>
    <col min="7430" max="7430" width="15.125" style="3" customWidth="1"/>
    <col min="7431" max="7431" width="15.875" style="3" customWidth="1"/>
    <col min="7432" max="7432" width="20" style="3" customWidth="1"/>
    <col min="7433" max="7435" width="9.75" style="3" customWidth="1"/>
    <col min="7436" max="7436" width="12.125" style="3" customWidth="1"/>
    <col min="7437" max="7437" width="8.875" style="3" customWidth="1"/>
    <col min="7438" max="7438" width="9.75" style="3" customWidth="1"/>
    <col min="7439" max="7680" width="8.875" style="3"/>
    <col min="7681" max="7681" width="3.125" style="3" customWidth="1"/>
    <col min="7682" max="7682" width="26.375" style="3" bestFit="1" customWidth="1"/>
    <col min="7683" max="7683" width="18.125" style="3" customWidth="1"/>
    <col min="7684" max="7684" width="13.875" style="3" customWidth="1"/>
    <col min="7685" max="7685" width="3" style="3" customWidth="1"/>
    <col min="7686" max="7686" width="15.125" style="3" customWidth="1"/>
    <col min="7687" max="7687" width="15.875" style="3" customWidth="1"/>
    <col min="7688" max="7688" width="20" style="3" customWidth="1"/>
    <col min="7689" max="7691" width="9.75" style="3" customWidth="1"/>
    <col min="7692" max="7692" width="12.125" style="3" customWidth="1"/>
    <col min="7693" max="7693" width="8.875" style="3" customWidth="1"/>
    <col min="7694" max="7694" width="9.75" style="3" customWidth="1"/>
    <col min="7695" max="7936" width="8.875" style="3"/>
    <col min="7937" max="7937" width="3.125" style="3" customWidth="1"/>
    <col min="7938" max="7938" width="26.375" style="3" bestFit="1" customWidth="1"/>
    <col min="7939" max="7939" width="18.125" style="3" customWidth="1"/>
    <col min="7940" max="7940" width="13.875" style="3" customWidth="1"/>
    <col min="7941" max="7941" width="3" style="3" customWidth="1"/>
    <col min="7942" max="7942" width="15.125" style="3" customWidth="1"/>
    <col min="7943" max="7943" width="15.875" style="3" customWidth="1"/>
    <col min="7944" max="7944" width="20" style="3" customWidth="1"/>
    <col min="7945" max="7947" width="9.75" style="3" customWidth="1"/>
    <col min="7948" max="7948" width="12.125" style="3" customWidth="1"/>
    <col min="7949" max="7949" width="8.875" style="3" customWidth="1"/>
    <col min="7950" max="7950" width="9.75" style="3" customWidth="1"/>
    <col min="7951" max="8192" width="8.875" style="3"/>
    <col min="8193" max="8193" width="3.125" style="3" customWidth="1"/>
    <col min="8194" max="8194" width="26.375" style="3" bestFit="1" customWidth="1"/>
    <col min="8195" max="8195" width="18.125" style="3" customWidth="1"/>
    <col min="8196" max="8196" width="13.875" style="3" customWidth="1"/>
    <col min="8197" max="8197" width="3" style="3" customWidth="1"/>
    <col min="8198" max="8198" width="15.125" style="3" customWidth="1"/>
    <col min="8199" max="8199" width="15.875" style="3" customWidth="1"/>
    <col min="8200" max="8200" width="20" style="3" customWidth="1"/>
    <col min="8201" max="8203" width="9.75" style="3" customWidth="1"/>
    <col min="8204" max="8204" width="12.125" style="3" customWidth="1"/>
    <col min="8205" max="8205" width="8.875" style="3" customWidth="1"/>
    <col min="8206" max="8206" width="9.75" style="3" customWidth="1"/>
    <col min="8207" max="8448" width="8.875" style="3"/>
    <col min="8449" max="8449" width="3.125" style="3" customWidth="1"/>
    <col min="8450" max="8450" width="26.375" style="3" bestFit="1" customWidth="1"/>
    <col min="8451" max="8451" width="18.125" style="3" customWidth="1"/>
    <col min="8452" max="8452" width="13.875" style="3" customWidth="1"/>
    <col min="8453" max="8453" width="3" style="3" customWidth="1"/>
    <col min="8454" max="8454" width="15.125" style="3" customWidth="1"/>
    <col min="8455" max="8455" width="15.875" style="3" customWidth="1"/>
    <col min="8456" max="8456" width="20" style="3" customWidth="1"/>
    <col min="8457" max="8459" width="9.75" style="3" customWidth="1"/>
    <col min="8460" max="8460" width="12.125" style="3" customWidth="1"/>
    <col min="8461" max="8461" width="8.875" style="3" customWidth="1"/>
    <col min="8462" max="8462" width="9.75" style="3" customWidth="1"/>
    <col min="8463" max="8704" width="8.875" style="3"/>
    <col min="8705" max="8705" width="3.125" style="3" customWidth="1"/>
    <col min="8706" max="8706" width="26.375" style="3" bestFit="1" customWidth="1"/>
    <col min="8707" max="8707" width="18.125" style="3" customWidth="1"/>
    <col min="8708" max="8708" width="13.875" style="3" customWidth="1"/>
    <col min="8709" max="8709" width="3" style="3" customWidth="1"/>
    <col min="8710" max="8710" width="15.125" style="3" customWidth="1"/>
    <col min="8711" max="8711" width="15.875" style="3" customWidth="1"/>
    <col min="8712" max="8712" width="20" style="3" customWidth="1"/>
    <col min="8713" max="8715" width="9.75" style="3" customWidth="1"/>
    <col min="8716" max="8716" width="12.125" style="3" customWidth="1"/>
    <col min="8717" max="8717" width="8.875" style="3" customWidth="1"/>
    <col min="8718" max="8718" width="9.75" style="3" customWidth="1"/>
    <col min="8719" max="8960" width="8.875" style="3"/>
    <col min="8961" max="8961" width="3.125" style="3" customWidth="1"/>
    <col min="8962" max="8962" width="26.375" style="3" bestFit="1" customWidth="1"/>
    <col min="8963" max="8963" width="18.125" style="3" customWidth="1"/>
    <col min="8964" max="8964" width="13.875" style="3" customWidth="1"/>
    <col min="8965" max="8965" width="3" style="3" customWidth="1"/>
    <col min="8966" max="8966" width="15.125" style="3" customWidth="1"/>
    <col min="8967" max="8967" width="15.875" style="3" customWidth="1"/>
    <col min="8968" max="8968" width="20" style="3" customWidth="1"/>
    <col min="8969" max="8971" width="9.75" style="3" customWidth="1"/>
    <col min="8972" max="8972" width="12.125" style="3" customWidth="1"/>
    <col min="8973" max="8973" width="8.875" style="3" customWidth="1"/>
    <col min="8974" max="8974" width="9.75" style="3" customWidth="1"/>
    <col min="8975" max="9216" width="8.875" style="3"/>
    <col min="9217" max="9217" width="3.125" style="3" customWidth="1"/>
    <col min="9218" max="9218" width="26.375" style="3" bestFit="1" customWidth="1"/>
    <col min="9219" max="9219" width="18.125" style="3" customWidth="1"/>
    <col min="9220" max="9220" width="13.875" style="3" customWidth="1"/>
    <col min="9221" max="9221" width="3" style="3" customWidth="1"/>
    <col min="9222" max="9222" width="15.125" style="3" customWidth="1"/>
    <col min="9223" max="9223" width="15.875" style="3" customWidth="1"/>
    <col min="9224" max="9224" width="20" style="3" customWidth="1"/>
    <col min="9225" max="9227" width="9.75" style="3" customWidth="1"/>
    <col min="9228" max="9228" width="12.125" style="3" customWidth="1"/>
    <col min="9229" max="9229" width="8.875" style="3" customWidth="1"/>
    <col min="9230" max="9230" width="9.75" style="3" customWidth="1"/>
    <col min="9231" max="9472" width="8.875" style="3"/>
    <col min="9473" max="9473" width="3.125" style="3" customWidth="1"/>
    <col min="9474" max="9474" width="26.375" style="3" bestFit="1" customWidth="1"/>
    <col min="9475" max="9475" width="18.125" style="3" customWidth="1"/>
    <col min="9476" max="9476" width="13.875" style="3" customWidth="1"/>
    <col min="9477" max="9477" width="3" style="3" customWidth="1"/>
    <col min="9478" max="9478" width="15.125" style="3" customWidth="1"/>
    <col min="9479" max="9479" width="15.875" style="3" customWidth="1"/>
    <col min="9480" max="9480" width="20" style="3" customWidth="1"/>
    <col min="9481" max="9483" width="9.75" style="3" customWidth="1"/>
    <col min="9484" max="9484" width="12.125" style="3" customWidth="1"/>
    <col min="9485" max="9485" width="8.875" style="3" customWidth="1"/>
    <col min="9486" max="9486" width="9.75" style="3" customWidth="1"/>
    <col min="9487" max="9728" width="8.875" style="3"/>
    <col min="9729" max="9729" width="3.125" style="3" customWidth="1"/>
    <col min="9730" max="9730" width="26.375" style="3" bestFit="1" customWidth="1"/>
    <col min="9731" max="9731" width="18.125" style="3" customWidth="1"/>
    <col min="9732" max="9732" width="13.875" style="3" customWidth="1"/>
    <col min="9733" max="9733" width="3" style="3" customWidth="1"/>
    <col min="9734" max="9734" width="15.125" style="3" customWidth="1"/>
    <col min="9735" max="9735" width="15.875" style="3" customWidth="1"/>
    <col min="9736" max="9736" width="20" style="3" customWidth="1"/>
    <col min="9737" max="9739" width="9.75" style="3" customWidth="1"/>
    <col min="9740" max="9740" width="12.125" style="3" customWidth="1"/>
    <col min="9741" max="9741" width="8.875" style="3" customWidth="1"/>
    <col min="9742" max="9742" width="9.75" style="3" customWidth="1"/>
    <col min="9743" max="9984" width="8.875" style="3"/>
    <col min="9985" max="9985" width="3.125" style="3" customWidth="1"/>
    <col min="9986" max="9986" width="26.375" style="3" bestFit="1" customWidth="1"/>
    <col min="9987" max="9987" width="18.125" style="3" customWidth="1"/>
    <col min="9988" max="9988" width="13.875" style="3" customWidth="1"/>
    <col min="9989" max="9989" width="3" style="3" customWidth="1"/>
    <col min="9990" max="9990" width="15.125" style="3" customWidth="1"/>
    <col min="9991" max="9991" width="15.875" style="3" customWidth="1"/>
    <col min="9992" max="9992" width="20" style="3" customWidth="1"/>
    <col min="9993" max="9995" width="9.75" style="3" customWidth="1"/>
    <col min="9996" max="9996" width="12.125" style="3" customWidth="1"/>
    <col min="9997" max="9997" width="8.875" style="3" customWidth="1"/>
    <col min="9998" max="9998" width="9.75" style="3" customWidth="1"/>
    <col min="9999" max="10240" width="8.875" style="3"/>
    <col min="10241" max="10241" width="3.125" style="3" customWidth="1"/>
    <col min="10242" max="10242" width="26.375" style="3" bestFit="1" customWidth="1"/>
    <col min="10243" max="10243" width="18.125" style="3" customWidth="1"/>
    <col min="10244" max="10244" width="13.875" style="3" customWidth="1"/>
    <col min="10245" max="10245" width="3" style="3" customWidth="1"/>
    <col min="10246" max="10246" width="15.125" style="3" customWidth="1"/>
    <col min="10247" max="10247" width="15.875" style="3" customWidth="1"/>
    <col min="10248" max="10248" width="20" style="3" customWidth="1"/>
    <col min="10249" max="10251" width="9.75" style="3" customWidth="1"/>
    <col min="10252" max="10252" width="12.125" style="3" customWidth="1"/>
    <col min="10253" max="10253" width="8.875" style="3" customWidth="1"/>
    <col min="10254" max="10254" width="9.75" style="3" customWidth="1"/>
    <col min="10255" max="10496" width="8.875" style="3"/>
    <col min="10497" max="10497" width="3.125" style="3" customWidth="1"/>
    <col min="10498" max="10498" width="26.375" style="3" bestFit="1" customWidth="1"/>
    <col min="10499" max="10499" width="18.125" style="3" customWidth="1"/>
    <col min="10500" max="10500" width="13.875" style="3" customWidth="1"/>
    <col min="10501" max="10501" width="3" style="3" customWidth="1"/>
    <col min="10502" max="10502" width="15.125" style="3" customWidth="1"/>
    <col min="10503" max="10503" width="15.875" style="3" customWidth="1"/>
    <col min="10504" max="10504" width="20" style="3" customWidth="1"/>
    <col min="10505" max="10507" width="9.75" style="3" customWidth="1"/>
    <col min="10508" max="10508" width="12.125" style="3" customWidth="1"/>
    <col min="10509" max="10509" width="8.875" style="3" customWidth="1"/>
    <col min="10510" max="10510" width="9.75" style="3" customWidth="1"/>
    <col min="10511" max="10752" width="8.875" style="3"/>
    <col min="10753" max="10753" width="3.125" style="3" customWidth="1"/>
    <col min="10754" max="10754" width="26.375" style="3" bestFit="1" customWidth="1"/>
    <col min="10755" max="10755" width="18.125" style="3" customWidth="1"/>
    <col min="10756" max="10756" width="13.875" style="3" customWidth="1"/>
    <col min="10757" max="10757" width="3" style="3" customWidth="1"/>
    <col min="10758" max="10758" width="15.125" style="3" customWidth="1"/>
    <col min="10759" max="10759" width="15.875" style="3" customWidth="1"/>
    <col min="10760" max="10760" width="20" style="3" customWidth="1"/>
    <col min="10761" max="10763" width="9.75" style="3" customWidth="1"/>
    <col min="10764" max="10764" width="12.125" style="3" customWidth="1"/>
    <col min="10765" max="10765" width="8.875" style="3" customWidth="1"/>
    <col min="10766" max="10766" width="9.75" style="3" customWidth="1"/>
    <col min="10767" max="11008" width="8.875" style="3"/>
    <col min="11009" max="11009" width="3.125" style="3" customWidth="1"/>
    <col min="11010" max="11010" width="26.375" style="3" bestFit="1" customWidth="1"/>
    <col min="11011" max="11011" width="18.125" style="3" customWidth="1"/>
    <col min="11012" max="11012" width="13.875" style="3" customWidth="1"/>
    <col min="11013" max="11013" width="3" style="3" customWidth="1"/>
    <col min="11014" max="11014" width="15.125" style="3" customWidth="1"/>
    <col min="11015" max="11015" width="15.875" style="3" customWidth="1"/>
    <col min="11016" max="11016" width="20" style="3" customWidth="1"/>
    <col min="11017" max="11019" width="9.75" style="3" customWidth="1"/>
    <col min="11020" max="11020" width="12.125" style="3" customWidth="1"/>
    <col min="11021" max="11021" width="8.875" style="3" customWidth="1"/>
    <col min="11022" max="11022" width="9.75" style="3" customWidth="1"/>
    <col min="11023" max="11264" width="8.875" style="3"/>
    <col min="11265" max="11265" width="3.125" style="3" customWidth="1"/>
    <col min="11266" max="11266" width="26.375" style="3" bestFit="1" customWidth="1"/>
    <col min="11267" max="11267" width="18.125" style="3" customWidth="1"/>
    <col min="11268" max="11268" width="13.875" style="3" customWidth="1"/>
    <col min="11269" max="11269" width="3" style="3" customWidth="1"/>
    <col min="11270" max="11270" width="15.125" style="3" customWidth="1"/>
    <col min="11271" max="11271" width="15.875" style="3" customWidth="1"/>
    <col min="11272" max="11272" width="20" style="3" customWidth="1"/>
    <col min="11273" max="11275" width="9.75" style="3" customWidth="1"/>
    <col min="11276" max="11276" width="12.125" style="3" customWidth="1"/>
    <col min="11277" max="11277" width="8.875" style="3" customWidth="1"/>
    <col min="11278" max="11278" width="9.75" style="3" customWidth="1"/>
    <col min="11279" max="11520" width="8.875" style="3"/>
    <col min="11521" max="11521" width="3.125" style="3" customWidth="1"/>
    <col min="11522" max="11522" width="26.375" style="3" bestFit="1" customWidth="1"/>
    <col min="11523" max="11523" width="18.125" style="3" customWidth="1"/>
    <col min="11524" max="11524" width="13.875" style="3" customWidth="1"/>
    <col min="11525" max="11525" width="3" style="3" customWidth="1"/>
    <col min="11526" max="11526" width="15.125" style="3" customWidth="1"/>
    <col min="11527" max="11527" width="15.875" style="3" customWidth="1"/>
    <col min="11528" max="11528" width="20" style="3" customWidth="1"/>
    <col min="11529" max="11531" width="9.75" style="3" customWidth="1"/>
    <col min="11532" max="11532" width="12.125" style="3" customWidth="1"/>
    <col min="11533" max="11533" width="8.875" style="3" customWidth="1"/>
    <col min="11534" max="11534" width="9.75" style="3" customWidth="1"/>
    <col min="11535" max="11776" width="8.875" style="3"/>
    <col min="11777" max="11777" width="3.125" style="3" customWidth="1"/>
    <col min="11778" max="11778" width="26.375" style="3" bestFit="1" customWidth="1"/>
    <col min="11779" max="11779" width="18.125" style="3" customWidth="1"/>
    <col min="11780" max="11780" width="13.875" style="3" customWidth="1"/>
    <col min="11781" max="11781" width="3" style="3" customWidth="1"/>
    <col min="11782" max="11782" width="15.125" style="3" customWidth="1"/>
    <col min="11783" max="11783" width="15.875" style="3" customWidth="1"/>
    <col min="11784" max="11784" width="20" style="3" customWidth="1"/>
    <col min="11785" max="11787" width="9.75" style="3" customWidth="1"/>
    <col min="11788" max="11788" width="12.125" style="3" customWidth="1"/>
    <col min="11789" max="11789" width="8.875" style="3" customWidth="1"/>
    <col min="11790" max="11790" width="9.75" style="3" customWidth="1"/>
    <col min="11791" max="12032" width="8.875" style="3"/>
    <col min="12033" max="12033" width="3.125" style="3" customWidth="1"/>
    <col min="12034" max="12034" width="26.375" style="3" bestFit="1" customWidth="1"/>
    <col min="12035" max="12035" width="18.125" style="3" customWidth="1"/>
    <col min="12036" max="12036" width="13.875" style="3" customWidth="1"/>
    <col min="12037" max="12037" width="3" style="3" customWidth="1"/>
    <col min="12038" max="12038" width="15.125" style="3" customWidth="1"/>
    <col min="12039" max="12039" width="15.875" style="3" customWidth="1"/>
    <col min="12040" max="12040" width="20" style="3" customWidth="1"/>
    <col min="12041" max="12043" width="9.75" style="3" customWidth="1"/>
    <col min="12044" max="12044" width="12.125" style="3" customWidth="1"/>
    <col min="12045" max="12045" width="8.875" style="3" customWidth="1"/>
    <col min="12046" max="12046" width="9.75" style="3" customWidth="1"/>
    <col min="12047" max="12288" width="8.875" style="3"/>
    <col min="12289" max="12289" width="3.125" style="3" customWidth="1"/>
    <col min="12290" max="12290" width="26.375" style="3" bestFit="1" customWidth="1"/>
    <col min="12291" max="12291" width="18.125" style="3" customWidth="1"/>
    <col min="12292" max="12292" width="13.875" style="3" customWidth="1"/>
    <col min="12293" max="12293" width="3" style="3" customWidth="1"/>
    <col min="12294" max="12294" width="15.125" style="3" customWidth="1"/>
    <col min="12295" max="12295" width="15.875" style="3" customWidth="1"/>
    <col min="12296" max="12296" width="20" style="3" customWidth="1"/>
    <col min="12297" max="12299" width="9.75" style="3" customWidth="1"/>
    <col min="12300" max="12300" width="12.125" style="3" customWidth="1"/>
    <col min="12301" max="12301" width="8.875" style="3" customWidth="1"/>
    <col min="12302" max="12302" width="9.75" style="3" customWidth="1"/>
    <col min="12303" max="12544" width="8.875" style="3"/>
    <col min="12545" max="12545" width="3.125" style="3" customWidth="1"/>
    <col min="12546" max="12546" width="26.375" style="3" bestFit="1" customWidth="1"/>
    <col min="12547" max="12547" width="18.125" style="3" customWidth="1"/>
    <col min="12548" max="12548" width="13.875" style="3" customWidth="1"/>
    <col min="12549" max="12549" width="3" style="3" customWidth="1"/>
    <col min="12550" max="12550" width="15.125" style="3" customWidth="1"/>
    <col min="12551" max="12551" width="15.875" style="3" customWidth="1"/>
    <col min="12552" max="12552" width="20" style="3" customWidth="1"/>
    <col min="12553" max="12555" width="9.75" style="3" customWidth="1"/>
    <col min="12556" max="12556" width="12.125" style="3" customWidth="1"/>
    <col min="12557" max="12557" width="8.875" style="3" customWidth="1"/>
    <col min="12558" max="12558" width="9.75" style="3" customWidth="1"/>
    <col min="12559" max="12800" width="8.875" style="3"/>
    <col min="12801" max="12801" width="3.125" style="3" customWidth="1"/>
    <col min="12802" max="12802" width="26.375" style="3" bestFit="1" customWidth="1"/>
    <col min="12803" max="12803" width="18.125" style="3" customWidth="1"/>
    <col min="12804" max="12804" width="13.875" style="3" customWidth="1"/>
    <col min="12805" max="12805" width="3" style="3" customWidth="1"/>
    <col min="12806" max="12806" width="15.125" style="3" customWidth="1"/>
    <col min="12807" max="12807" width="15.875" style="3" customWidth="1"/>
    <col min="12808" max="12808" width="20" style="3" customWidth="1"/>
    <col min="12809" max="12811" width="9.75" style="3" customWidth="1"/>
    <col min="12812" max="12812" width="12.125" style="3" customWidth="1"/>
    <col min="12813" max="12813" width="8.875" style="3" customWidth="1"/>
    <col min="12814" max="12814" width="9.75" style="3" customWidth="1"/>
    <col min="12815" max="13056" width="8.875" style="3"/>
    <col min="13057" max="13057" width="3.125" style="3" customWidth="1"/>
    <col min="13058" max="13058" width="26.375" style="3" bestFit="1" customWidth="1"/>
    <col min="13059" max="13059" width="18.125" style="3" customWidth="1"/>
    <col min="13060" max="13060" width="13.875" style="3" customWidth="1"/>
    <col min="13061" max="13061" width="3" style="3" customWidth="1"/>
    <col min="13062" max="13062" width="15.125" style="3" customWidth="1"/>
    <col min="13063" max="13063" width="15.875" style="3" customWidth="1"/>
    <col min="13064" max="13064" width="20" style="3" customWidth="1"/>
    <col min="13065" max="13067" width="9.75" style="3" customWidth="1"/>
    <col min="13068" max="13068" width="12.125" style="3" customWidth="1"/>
    <col min="13069" max="13069" width="8.875" style="3" customWidth="1"/>
    <col min="13070" max="13070" width="9.75" style="3" customWidth="1"/>
    <col min="13071" max="13312" width="8.875" style="3"/>
    <col min="13313" max="13313" width="3.125" style="3" customWidth="1"/>
    <col min="13314" max="13314" width="26.375" style="3" bestFit="1" customWidth="1"/>
    <col min="13315" max="13315" width="18.125" style="3" customWidth="1"/>
    <col min="13316" max="13316" width="13.875" style="3" customWidth="1"/>
    <col min="13317" max="13317" width="3" style="3" customWidth="1"/>
    <col min="13318" max="13318" width="15.125" style="3" customWidth="1"/>
    <col min="13319" max="13319" width="15.875" style="3" customWidth="1"/>
    <col min="13320" max="13320" width="20" style="3" customWidth="1"/>
    <col min="13321" max="13323" width="9.75" style="3" customWidth="1"/>
    <col min="13324" max="13324" width="12.125" style="3" customWidth="1"/>
    <col min="13325" max="13325" width="8.875" style="3" customWidth="1"/>
    <col min="13326" max="13326" width="9.75" style="3" customWidth="1"/>
    <col min="13327" max="13568" width="8.875" style="3"/>
    <col min="13569" max="13569" width="3.125" style="3" customWidth="1"/>
    <col min="13570" max="13570" width="26.375" style="3" bestFit="1" customWidth="1"/>
    <col min="13571" max="13571" width="18.125" style="3" customWidth="1"/>
    <col min="13572" max="13572" width="13.875" style="3" customWidth="1"/>
    <col min="13573" max="13573" width="3" style="3" customWidth="1"/>
    <col min="13574" max="13574" width="15.125" style="3" customWidth="1"/>
    <col min="13575" max="13575" width="15.875" style="3" customWidth="1"/>
    <col min="13576" max="13576" width="20" style="3" customWidth="1"/>
    <col min="13577" max="13579" width="9.75" style="3" customWidth="1"/>
    <col min="13580" max="13580" width="12.125" style="3" customWidth="1"/>
    <col min="13581" max="13581" width="8.875" style="3" customWidth="1"/>
    <col min="13582" max="13582" width="9.75" style="3" customWidth="1"/>
    <col min="13583" max="13824" width="8.875" style="3"/>
    <col min="13825" max="13825" width="3.125" style="3" customWidth="1"/>
    <col min="13826" max="13826" width="26.375" style="3" bestFit="1" customWidth="1"/>
    <col min="13827" max="13827" width="18.125" style="3" customWidth="1"/>
    <col min="13828" max="13828" width="13.875" style="3" customWidth="1"/>
    <col min="13829" max="13829" width="3" style="3" customWidth="1"/>
    <col min="13830" max="13830" width="15.125" style="3" customWidth="1"/>
    <col min="13831" max="13831" width="15.875" style="3" customWidth="1"/>
    <col min="13832" max="13832" width="20" style="3" customWidth="1"/>
    <col min="13833" max="13835" width="9.75" style="3" customWidth="1"/>
    <col min="13836" max="13836" width="12.125" style="3" customWidth="1"/>
    <col min="13837" max="13837" width="8.875" style="3" customWidth="1"/>
    <col min="13838" max="13838" width="9.75" style="3" customWidth="1"/>
    <col min="13839" max="14080" width="8.875" style="3"/>
    <col min="14081" max="14081" width="3.125" style="3" customWidth="1"/>
    <col min="14082" max="14082" width="26.375" style="3" bestFit="1" customWidth="1"/>
    <col min="14083" max="14083" width="18.125" style="3" customWidth="1"/>
    <col min="14084" max="14084" width="13.875" style="3" customWidth="1"/>
    <col min="14085" max="14085" width="3" style="3" customWidth="1"/>
    <col min="14086" max="14086" width="15.125" style="3" customWidth="1"/>
    <col min="14087" max="14087" width="15.875" style="3" customWidth="1"/>
    <col min="14088" max="14088" width="20" style="3" customWidth="1"/>
    <col min="14089" max="14091" width="9.75" style="3" customWidth="1"/>
    <col min="14092" max="14092" width="12.125" style="3" customWidth="1"/>
    <col min="14093" max="14093" width="8.875" style="3" customWidth="1"/>
    <col min="14094" max="14094" width="9.75" style="3" customWidth="1"/>
    <col min="14095" max="14336" width="8.875" style="3"/>
    <col min="14337" max="14337" width="3.125" style="3" customWidth="1"/>
    <col min="14338" max="14338" width="26.375" style="3" bestFit="1" customWidth="1"/>
    <col min="14339" max="14339" width="18.125" style="3" customWidth="1"/>
    <col min="14340" max="14340" width="13.875" style="3" customWidth="1"/>
    <col min="14341" max="14341" width="3" style="3" customWidth="1"/>
    <col min="14342" max="14342" width="15.125" style="3" customWidth="1"/>
    <col min="14343" max="14343" width="15.875" style="3" customWidth="1"/>
    <col min="14344" max="14344" width="20" style="3" customWidth="1"/>
    <col min="14345" max="14347" width="9.75" style="3" customWidth="1"/>
    <col min="14348" max="14348" width="12.125" style="3" customWidth="1"/>
    <col min="14349" max="14349" width="8.875" style="3" customWidth="1"/>
    <col min="14350" max="14350" width="9.75" style="3" customWidth="1"/>
    <col min="14351" max="14592" width="8.875" style="3"/>
    <col min="14593" max="14593" width="3.125" style="3" customWidth="1"/>
    <col min="14594" max="14594" width="26.375" style="3" bestFit="1" customWidth="1"/>
    <col min="14595" max="14595" width="18.125" style="3" customWidth="1"/>
    <col min="14596" max="14596" width="13.875" style="3" customWidth="1"/>
    <col min="14597" max="14597" width="3" style="3" customWidth="1"/>
    <col min="14598" max="14598" width="15.125" style="3" customWidth="1"/>
    <col min="14599" max="14599" width="15.875" style="3" customWidth="1"/>
    <col min="14600" max="14600" width="20" style="3" customWidth="1"/>
    <col min="14601" max="14603" width="9.75" style="3" customWidth="1"/>
    <col min="14604" max="14604" width="12.125" style="3" customWidth="1"/>
    <col min="14605" max="14605" width="8.875" style="3" customWidth="1"/>
    <col min="14606" max="14606" width="9.75" style="3" customWidth="1"/>
    <col min="14607" max="14848" width="8.875" style="3"/>
    <col min="14849" max="14849" width="3.125" style="3" customWidth="1"/>
    <col min="14850" max="14850" width="26.375" style="3" bestFit="1" customWidth="1"/>
    <col min="14851" max="14851" width="18.125" style="3" customWidth="1"/>
    <col min="14852" max="14852" width="13.875" style="3" customWidth="1"/>
    <col min="14853" max="14853" width="3" style="3" customWidth="1"/>
    <col min="14854" max="14854" width="15.125" style="3" customWidth="1"/>
    <col min="14855" max="14855" width="15.875" style="3" customWidth="1"/>
    <col min="14856" max="14856" width="20" style="3" customWidth="1"/>
    <col min="14857" max="14859" width="9.75" style="3" customWidth="1"/>
    <col min="14860" max="14860" width="12.125" style="3" customWidth="1"/>
    <col min="14861" max="14861" width="8.875" style="3" customWidth="1"/>
    <col min="14862" max="14862" width="9.75" style="3" customWidth="1"/>
    <col min="14863" max="15104" width="8.875" style="3"/>
    <col min="15105" max="15105" width="3.125" style="3" customWidth="1"/>
    <col min="15106" max="15106" width="26.375" style="3" bestFit="1" customWidth="1"/>
    <col min="15107" max="15107" width="18.125" style="3" customWidth="1"/>
    <col min="15108" max="15108" width="13.875" style="3" customWidth="1"/>
    <col min="15109" max="15109" width="3" style="3" customWidth="1"/>
    <col min="15110" max="15110" width="15.125" style="3" customWidth="1"/>
    <col min="15111" max="15111" width="15.875" style="3" customWidth="1"/>
    <col min="15112" max="15112" width="20" style="3" customWidth="1"/>
    <col min="15113" max="15115" width="9.75" style="3" customWidth="1"/>
    <col min="15116" max="15116" width="12.125" style="3" customWidth="1"/>
    <col min="15117" max="15117" width="8.875" style="3" customWidth="1"/>
    <col min="15118" max="15118" width="9.75" style="3" customWidth="1"/>
    <col min="15119" max="15360" width="8.875" style="3"/>
    <col min="15361" max="15361" width="3.125" style="3" customWidth="1"/>
    <col min="15362" max="15362" width="26.375" style="3" bestFit="1" customWidth="1"/>
    <col min="15363" max="15363" width="18.125" style="3" customWidth="1"/>
    <col min="15364" max="15364" width="13.875" style="3" customWidth="1"/>
    <col min="15365" max="15365" width="3" style="3" customWidth="1"/>
    <col min="15366" max="15366" width="15.125" style="3" customWidth="1"/>
    <col min="15367" max="15367" width="15.875" style="3" customWidth="1"/>
    <col min="15368" max="15368" width="20" style="3" customWidth="1"/>
    <col min="15369" max="15371" width="9.75" style="3" customWidth="1"/>
    <col min="15372" max="15372" width="12.125" style="3" customWidth="1"/>
    <col min="15373" max="15373" width="8.875" style="3" customWidth="1"/>
    <col min="15374" max="15374" width="9.75" style="3" customWidth="1"/>
    <col min="15375" max="15616" width="8.875" style="3"/>
    <col min="15617" max="15617" width="3.125" style="3" customWidth="1"/>
    <col min="15618" max="15618" width="26.375" style="3" bestFit="1" customWidth="1"/>
    <col min="15619" max="15619" width="18.125" style="3" customWidth="1"/>
    <col min="15620" max="15620" width="13.875" style="3" customWidth="1"/>
    <col min="15621" max="15621" width="3" style="3" customWidth="1"/>
    <col min="15622" max="15622" width="15.125" style="3" customWidth="1"/>
    <col min="15623" max="15623" width="15.875" style="3" customWidth="1"/>
    <col min="15624" max="15624" width="20" style="3" customWidth="1"/>
    <col min="15625" max="15627" width="9.75" style="3" customWidth="1"/>
    <col min="15628" max="15628" width="12.125" style="3" customWidth="1"/>
    <col min="15629" max="15629" width="8.875" style="3" customWidth="1"/>
    <col min="15630" max="15630" width="9.75" style="3" customWidth="1"/>
    <col min="15631" max="15872" width="8.875" style="3"/>
    <col min="15873" max="15873" width="3.125" style="3" customWidth="1"/>
    <col min="15874" max="15874" width="26.375" style="3" bestFit="1" customWidth="1"/>
    <col min="15875" max="15875" width="18.125" style="3" customWidth="1"/>
    <col min="15876" max="15876" width="13.875" style="3" customWidth="1"/>
    <col min="15877" max="15877" width="3" style="3" customWidth="1"/>
    <col min="15878" max="15878" width="15.125" style="3" customWidth="1"/>
    <col min="15879" max="15879" width="15.875" style="3" customWidth="1"/>
    <col min="15880" max="15880" width="20" style="3" customWidth="1"/>
    <col min="15881" max="15883" width="9.75" style="3" customWidth="1"/>
    <col min="15884" max="15884" width="12.125" style="3" customWidth="1"/>
    <col min="15885" max="15885" width="8.875" style="3" customWidth="1"/>
    <col min="15886" max="15886" width="9.75" style="3" customWidth="1"/>
    <col min="15887" max="16128" width="8.875" style="3"/>
    <col min="16129" max="16129" width="3.125" style="3" customWidth="1"/>
    <col min="16130" max="16130" width="26.375" style="3" bestFit="1" customWidth="1"/>
    <col min="16131" max="16131" width="18.125" style="3" customWidth="1"/>
    <col min="16132" max="16132" width="13.875" style="3" customWidth="1"/>
    <col min="16133" max="16133" width="3" style="3" customWidth="1"/>
    <col min="16134" max="16134" width="15.125" style="3" customWidth="1"/>
    <col min="16135" max="16135" width="15.875" style="3" customWidth="1"/>
    <col min="16136" max="16136" width="20" style="3" customWidth="1"/>
    <col min="16137" max="16139" width="9.75" style="3" customWidth="1"/>
    <col min="16140" max="16140" width="12.125" style="3" customWidth="1"/>
    <col min="16141" max="16141" width="8.875" style="3" customWidth="1"/>
    <col min="16142" max="16142" width="9.75" style="3" customWidth="1"/>
    <col min="16143" max="16384" width="8.875" style="3"/>
  </cols>
  <sheetData>
    <row r="1" spans="1:29" ht="18">
      <c r="A1" s="1" t="s">
        <v>16</v>
      </c>
      <c r="B1" s="2"/>
      <c r="F1" s="7"/>
    </row>
    <row r="2" spans="1:29">
      <c r="A2" s="5"/>
      <c r="B2" s="6"/>
      <c r="D2" s="40"/>
    </row>
    <row r="3" spans="1:29" ht="23.25">
      <c r="A3" s="8"/>
      <c r="B3" s="39"/>
    </row>
    <row r="4" spans="1:29" ht="13.5" thickBot="1">
      <c r="B4" s="11" t="s">
        <v>14</v>
      </c>
      <c r="C4" s="41">
        <v>100</v>
      </c>
      <c r="D4" s="9"/>
      <c r="F4" s="4" t="s">
        <v>0</v>
      </c>
      <c r="H4" s="10"/>
      <c r="K4" s="27" t="s">
        <v>11</v>
      </c>
    </row>
    <row r="5" spans="1:29">
      <c r="B5" s="16" t="s">
        <v>3</v>
      </c>
      <c r="C5" s="42">
        <v>103</v>
      </c>
      <c r="D5" s="9"/>
      <c r="F5" s="12" t="s">
        <v>1</v>
      </c>
      <c r="G5" s="13"/>
      <c r="H5" s="14" t="s">
        <v>2</v>
      </c>
      <c r="I5" s="15"/>
      <c r="K5" s="28"/>
      <c r="L5" s="29" t="s">
        <v>12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1"/>
      <c r="AC5" s="32"/>
    </row>
    <row r="6" spans="1:29">
      <c r="B6" s="16" t="s">
        <v>8</v>
      </c>
      <c r="C6" s="43">
        <f>39+16/24</f>
        <v>39.666666666666664</v>
      </c>
      <c r="D6" s="9"/>
      <c r="F6" s="17" t="s">
        <v>4</v>
      </c>
      <c r="G6" s="18">
        <f>50%*C5</f>
        <v>51.5</v>
      </c>
      <c r="H6" s="19" t="s">
        <v>5</v>
      </c>
      <c r="I6" s="20">
        <v>11</v>
      </c>
      <c r="K6" s="33" t="s">
        <v>13</v>
      </c>
      <c r="L6" s="34">
        <f>I6</f>
        <v>11</v>
      </c>
      <c r="M6" s="34">
        <f>L6+($I$7-$I$6)/17</f>
        <v>31.823529411764707</v>
      </c>
      <c r="N6" s="34">
        <f>M6+($I$7-$I$6)/17</f>
        <v>52.647058823529413</v>
      </c>
      <c r="O6" s="34">
        <f>N6+($I$7-$I$6)/17</f>
        <v>73.470588235294116</v>
      </c>
      <c r="P6" s="34">
        <f>O6+($I$7-$I$6)/17</f>
        <v>94.294117647058826</v>
      </c>
      <c r="Q6" s="34">
        <f>P6+($I$7-$I$6)/17</f>
        <v>115.11764705882354</v>
      </c>
      <c r="R6" s="34">
        <f>Q6+($I$7-$I$6)/17</f>
        <v>135.94117647058823</v>
      </c>
      <c r="S6" s="34">
        <f>R6+($I$7-$I$6)/17</f>
        <v>156.76470588235293</v>
      </c>
      <c r="T6" s="34">
        <f>S6+($I$7-$I$6)/17</f>
        <v>177.58823529411762</v>
      </c>
      <c r="U6" s="34">
        <f>T6+($I$7-$I$6)/17</f>
        <v>198.41176470588232</v>
      </c>
      <c r="V6" s="34">
        <f>U6+($I$7-$I$6)/17</f>
        <v>219.23529411764702</v>
      </c>
      <c r="W6" s="34">
        <f>V6+($I$7-$I$6)/17</f>
        <v>240.05882352941171</v>
      </c>
      <c r="X6" s="34">
        <f>W6+($I$7-$I$6)/17</f>
        <v>260.88235294117641</v>
      </c>
      <c r="Y6" s="34">
        <f>X6+($I$7-$I$6)/17</f>
        <v>281.7058823529411</v>
      </c>
      <c r="Z6" s="34">
        <f>Y6+($I$7-$I$6)/17</f>
        <v>302.5294117647058</v>
      </c>
      <c r="AA6" s="34">
        <f>Z6+($I$7-$I$6)/17</f>
        <v>323.35294117647049</v>
      </c>
      <c r="AB6" s="34">
        <f>AA6+($I$7-$I$6)/17</f>
        <v>344.17647058823519</v>
      </c>
      <c r="AC6" s="35">
        <f>AB6+($I$7-$I$6)/17</f>
        <v>364.99999999999989</v>
      </c>
    </row>
    <row r="7" spans="1:29" ht="13.5" thickBot="1">
      <c r="B7" s="16" t="s">
        <v>9</v>
      </c>
      <c r="C7" s="44">
        <v>0.04</v>
      </c>
      <c r="D7" s="9"/>
      <c r="F7" s="21" t="s">
        <v>6</v>
      </c>
      <c r="G7" s="22">
        <f>C5*1.5</f>
        <v>154.5</v>
      </c>
      <c r="H7" s="23" t="s">
        <v>7</v>
      </c>
      <c r="I7" s="24">
        <v>365</v>
      </c>
      <c r="K7" s="36">
        <f>G7</f>
        <v>154.5</v>
      </c>
      <c r="L7" s="46">
        <f>GBlackScholesNGreeek($K7,$C$5,L$6,$C$7,$C$8,$C$9,$C$10)</f>
        <v>51.624089574818271</v>
      </c>
      <c r="M7" s="46">
        <f t="shared" ref="M7:AC21" si="0">GBlackScholesNGreeek($K7,$C$5,M$6,$C$7,$C$8,$C$9,$C$10)</f>
        <v>51.858587884591898</v>
      </c>
      <c r="N7" s="46">
        <f t="shared" si="0"/>
        <v>52.09255172331261</v>
      </c>
      <c r="O7" s="46">
        <f t="shared" si="0"/>
        <v>52.325986730184027</v>
      </c>
      <c r="P7" s="46">
        <f t="shared" si="0"/>
        <v>52.558941334104262</v>
      </c>
      <c r="Q7" s="46">
        <f t="shared" si="0"/>
        <v>52.791580235652205</v>
      </c>
      <c r="R7" s="46">
        <f t="shared" si="0"/>
        <v>53.02419921063786</v>
      </c>
      <c r="S7" s="46">
        <f t="shared" si="0"/>
        <v>53.257161901383554</v>
      </c>
      <c r="T7" s="46">
        <f t="shared" si="0"/>
        <v>53.490822498301441</v>
      </c>
      <c r="U7" s="46">
        <f t="shared" si="0"/>
        <v>53.725474949165402</v>
      </c>
      <c r="V7" s="46">
        <f t="shared" si="0"/>
        <v>53.961332527912177</v>
      </c>
      <c r="W7" s="46">
        <f t="shared" si="0"/>
        <v>54.198527802075972</v>
      </c>
      <c r="X7" s="46">
        <f t="shared" si="0"/>
        <v>54.437122867362561</v>
      </c>
      <c r="Y7" s="46">
        <f t="shared" si="0"/>
        <v>54.677123134981443</v>
      </c>
      <c r="Z7" s="46">
        <f t="shared" si="0"/>
        <v>54.918491054961393</v>
      </c>
      <c r="AA7" s="46">
        <f t="shared" si="0"/>
        <v>55.161158166506169</v>
      </c>
      <c r="AB7" s="46">
        <f t="shared" si="0"/>
        <v>55.405034977093493</v>
      </c>
      <c r="AC7" s="46">
        <f t="shared" si="0"/>
        <v>55.650018714246301</v>
      </c>
    </row>
    <row r="8" spans="1:29">
      <c r="B8" s="16" t="s">
        <v>19</v>
      </c>
      <c r="C8" s="44">
        <v>0.04</v>
      </c>
      <c r="D8" s="9"/>
      <c r="K8" s="36">
        <f>K7-($G$7-$G$6)/20</f>
        <v>149.35</v>
      </c>
      <c r="L8" s="46">
        <f t="shared" ref="L8:AA27" si="1">GBlackScholesNGreeek($K8,$C$5,L$6,$C$7,$C$8,$C$9,$C$10)</f>
        <v>46.474089574818265</v>
      </c>
      <c r="M8" s="46">
        <f t="shared" si="0"/>
        <v>46.708587884707356</v>
      </c>
      <c r="N8" s="46">
        <f t="shared" si="0"/>
        <v>46.942552268678085</v>
      </c>
      <c r="O8" s="46">
        <f t="shared" si="0"/>
        <v>47.17600993947687</v>
      </c>
      <c r="P8" s="46">
        <f t="shared" si="0"/>
        <v>47.40913658132871</v>
      </c>
      <c r="Q8" s="46">
        <f t="shared" si="0"/>
        <v>47.642354406213343</v>
      </c>
      <c r="R8" s="46">
        <f t="shared" si="0"/>
        <v>47.876233809876382</v>
      </c>
      <c r="S8" s="46">
        <f t="shared" si="0"/>
        <v>48.1113269566995</v>
      </c>
      <c r="T8" s="46">
        <f t="shared" si="0"/>
        <v>48.34806371273865</v>
      </c>
      <c r="U8" s="46">
        <f t="shared" si="0"/>
        <v>48.58672105016916</v>
      </c>
      <c r="V8" s="46">
        <f t="shared" si="0"/>
        <v>48.827435154381547</v>
      </c>
      <c r="W8" s="46">
        <f t="shared" si="0"/>
        <v>49.070229860701616</v>
      </c>
      <c r="X8" s="46">
        <f t="shared" si="0"/>
        <v>49.315047050898357</v>
      </c>
      <c r="Y8" s="46">
        <f t="shared" si="0"/>
        <v>49.561773032544068</v>
      </c>
      <c r="Z8" s="46">
        <f t="shared" si="0"/>
        <v>49.810259292830054</v>
      </c>
      <c r="AA8" s="46">
        <f t="shared" si="0"/>
        <v>50.060337907779555</v>
      </c>
      <c r="AB8" s="46">
        <f t="shared" si="0"/>
        <v>50.311832526084672</v>
      </c>
      <c r="AC8" s="46">
        <f t="shared" si="0"/>
        <v>50.564565931877851</v>
      </c>
    </row>
    <row r="9" spans="1:29">
      <c r="B9" s="16" t="s">
        <v>10</v>
      </c>
      <c r="C9" s="44">
        <v>0.2</v>
      </c>
      <c r="D9" s="9"/>
      <c r="K9" s="36">
        <f>K8-($G$7-$G$6)/20</f>
        <v>144.19999999999999</v>
      </c>
      <c r="L9" s="46">
        <f t="shared" si="1"/>
        <v>41.32408957481826</v>
      </c>
      <c r="M9" s="46">
        <f t="shared" si="0"/>
        <v>41.558587889658725</v>
      </c>
      <c r="N9" s="46">
        <f t="shared" si="0"/>
        <v>41.792557899418142</v>
      </c>
      <c r="O9" s="46">
        <f t="shared" si="0"/>
        <v>42.026138646594717</v>
      </c>
      <c r="P9" s="46">
        <f t="shared" si="0"/>
        <v>42.25990021610734</v>
      </c>
      <c r="Q9" s="46">
        <f t="shared" si="0"/>
        <v>42.494774642990862</v>
      </c>
      <c r="R9" s="46">
        <f t="shared" si="0"/>
        <v>42.731675208482173</v>
      </c>
      <c r="S9" s="46">
        <f t="shared" si="0"/>
        <v>42.971254846335995</v>
      </c>
      <c r="T9" s="46">
        <f t="shared" si="0"/>
        <v>43.213862310112603</v>
      </c>
      <c r="U9" s="46">
        <f t="shared" si="0"/>
        <v>43.459594137391846</v>
      </c>
      <c r="V9" s="46">
        <f t="shared" si="0"/>
        <v>43.708368692066173</v>
      </c>
      <c r="W9" s="46">
        <f t="shared" si="0"/>
        <v>43.959991655728643</v>
      </c>
      <c r="X9" s="46">
        <f t="shared" si="0"/>
        <v>44.214205241941272</v>
      </c>
      <c r="Y9" s="46">
        <f t="shared" si="0"/>
        <v>44.470722198331572</v>
      </c>
      <c r="Z9" s="46">
        <f t="shared" si="0"/>
        <v>44.729248008077477</v>
      </c>
      <c r="AA9" s="46">
        <f t="shared" si="0"/>
        <v>44.989494671405055</v>
      </c>
      <c r="AB9" s="46">
        <f t="shared" si="0"/>
        <v>45.251188753853938</v>
      </c>
      <c r="AC9" s="46">
        <f t="shared" si="0"/>
        <v>45.514075652173929</v>
      </c>
    </row>
    <row r="10" spans="1:29" ht="16.149999999999999" customHeight="1">
      <c r="B10" s="16" t="s">
        <v>17</v>
      </c>
      <c r="C10" s="50" t="s">
        <v>18</v>
      </c>
      <c r="D10" s="9"/>
      <c r="K10" s="36">
        <f>K9-($G$7-$G$6)/20</f>
        <v>139.04999999999998</v>
      </c>
      <c r="L10" s="46">
        <f t="shared" si="1"/>
        <v>36.174089574818254</v>
      </c>
      <c r="M10" s="46">
        <f t="shared" si="0"/>
        <v>36.408588060136751</v>
      </c>
      <c r="N10" s="46">
        <f t="shared" si="0"/>
        <v>36.642609097661463</v>
      </c>
      <c r="O10" s="46">
        <f t="shared" si="0"/>
        <v>36.876792338656742</v>
      </c>
      <c r="P10" s="46">
        <f t="shared" si="0"/>
        <v>37.112695207450841</v>
      </c>
      <c r="Q10" s="46">
        <f t="shared" si="0"/>
        <v>37.351952156033434</v>
      </c>
      <c r="R10" s="46">
        <f t="shared" si="0"/>
        <v>37.595609428978165</v>
      </c>
      <c r="S10" s="46">
        <f t="shared" si="0"/>
        <v>37.844067281817928</v>
      </c>
      <c r="T10" s="46">
        <f t="shared" si="0"/>
        <v>38.097261009731028</v>
      </c>
      <c r="U10" s="46">
        <f t="shared" si="0"/>
        <v>38.354851779822198</v>
      </c>
      <c r="V10" s="46">
        <f t="shared" si="0"/>
        <v>38.616365329541154</v>
      </c>
      <c r="W10" s="46">
        <f t="shared" si="0"/>
        <v>38.881279305108166</v>
      </c>
      <c r="X10" s="46">
        <f t="shared" si="0"/>
        <v>39.149073681688364</v>
      </c>
      <c r="Y10" s="46">
        <f t="shared" si="0"/>
        <v>39.419257542864685</v>
      </c>
      <c r="Z10" s="46">
        <f t="shared" si="0"/>
        <v>39.691381603880203</v>
      </c>
      <c r="AA10" s="46">
        <f t="shared" si="0"/>
        <v>39.965042499571155</v>
      </c>
      <c r="AB10" s="46">
        <f t="shared" si="0"/>
        <v>40.23988252326248</v>
      </c>
      <c r="AC10" s="46">
        <f t="shared" si="0"/>
        <v>40.515587010801227</v>
      </c>
    </row>
    <row r="11" spans="1:29">
      <c r="B11" s="26" t="s">
        <v>15</v>
      </c>
      <c r="C11" s="45">
        <f>GBlackScholesNGreeek(C4,C5,C6,C7,C8,C9,C10)</f>
        <v>1.5790936631965664</v>
      </c>
      <c r="D11" s="9"/>
      <c r="G11" s="25"/>
      <c r="K11" s="36">
        <f>K10-($G$7-$G$6)/20</f>
        <v>133.89999999999998</v>
      </c>
      <c r="L11" s="46">
        <f t="shared" si="1"/>
        <v>31.024089574818262</v>
      </c>
      <c r="M11" s="46">
        <f t="shared" si="0"/>
        <v>31.258592647758803</v>
      </c>
      <c r="N11" s="46">
        <f t="shared" si="0"/>
        <v>31.493012745594797</v>
      </c>
      <c r="O11" s="46">
        <f t="shared" si="0"/>
        <v>31.729800683944958</v>
      </c>
      <c r="P11" s="46">
        <f t="shared" si="0"/>
        <v>31.972191920314259</v>
      </c>
      <c r="Q11" s="46">
        <f t="shared" si="0"/>
        <v>32.2220157223542</v>
      </c>
      <c r="R11" s="46">
        <f t="shared" si="0"/>
        <v>32.47959600045354</v>
      </c>
      <c r="S11" s="46">
        <f t="shared" si="0"/>
        <v>32.744374409398688</v>
      </c>
      <c r="T11" s="46">
        <f t="shared" si="0"/>
        <v>33.015412345936241</v>
      </c>
      <c r="U11" s="46">
        <f t="shared" si="0"/>
        <v>33.291675733925899</v>
      </c>
      <c r="V11" s="46">
        <f t="shared" si="0"/>
        <v>33.572173002927968</v>
      </c>
      <c r="W11" s="46">
        <f t="shared" si="0"/>
        <v>33.85601214744257</v>
      </c>
      <c r="X11" s="46">
        <f t="shared" si="0"/>
        <v>34.14241708350059</v>
      </c>
      <c r="Y11" s="46">
        <f t="shared" si="0"/>
        <v>34.430725007848167</v>
      </c>
      <c r="Z11" s="46">
        <f t="shared" si="0"/>
        <v>34.720375842504083</v>
      </c>
      <c r="AA11" s="46">
        <f t="shared" si="0"/>
        <v>35.010899200838637</v>
      </c>
      <c r="AB11" s="46">
        <f t="shared" si="0"/>
        <v>35.301901409544556</v>
      </c>
      <c r="AC11" s="46">
        <f t="shared" si="0"/>
        <v>35.593053662040191</v>
      </c>
    </row>
    <row r="12" spans="1:29">
      <c r="D12" s="9"/>
      <c r="K12" s="36">
        <f>K11-($G$7-$G$6)/20</f>
        <v>128.74999999999997</v>
      </c>
      <c r="L12" s="46">
        <f t="shared" si="1"/>
        <v>25.874089574848881</v>
      </c>
      <c r="M12" s="46">
        <f t="shared" si="0"/>
        <v>26.108686282229868</v>
      </c>
      <c r="N12" s="46">
        <f t="shared" si="0"/>
        <v>26.345725071745804</v>
      </c>
      <c r="O12" s="46">
        <f t="shared" si="0"/>
        <v>26.592198413508441</v>
      </c>
      <c r="P12" s="46">
        <f t="shared" si="0"/>
        <v>26.851882259355548</v>
      </c>
      <c r="Q12" s="46">
        <f t="shared" si="0"/>
        <v>27.124509227893029</v>
      </c>
      <c r="R12" s="46">
        <f t="shared" si="0"/>
        <v>27.408095843794413</v>
      </c>
      <c r="S12" s="46">
        <f t="shared" si="0"/>
        <v>27.700324787685076</v>
      </c>
      <c r="T12" s="46">
        <f t="shared" si="0"/>
        <v>27.999076900299258</v>
      </c>
      <c r="U12" s="46">
        <f t="shared" si="0"/>
        <v>28.302576156061946</v>
      </c>
      <c r="V12" s="46">
        <f t="shared" si="0"/>
        <v>28.609388806291136</v>
      </c>
      <c r="W12" s="46">
        <f t="shared" si="0"/>
        <v>28.918376850820366</v>
      </c>
      <c r="X12" s="46">
        <f t="shared" si="0"/>
        <v>29.228643763452993</v>
      </c>
      <c r="Y12" s="46">
        <f t="shared" si="0"/>
        <v>29.539485352616595</v>
      </c>
      <c r="Z12" s="46">
        <f t="shared" si="0"/>
        <v>29.850349027849745</v>
      </c>
      <c r="AA12" s="46">
        <f t="shared" si="0"/>
        <v>30.160801294323605</v>
      </c>
      <c r="AB12" s="46">
        <f t="shared" si="0"/>
        <v>30.470502251034844</v>
      </c>
      <c r="AC12" s="46">
        <f t="shared" si="0"/>
        <v>30.779185718950202</v>
      </c>
    </row>
    <row r="13" spans="1:29">
      <c r="B13" s="9"/>
      <c r="C13" s="9"/>
      <c r="D13" s="9"/>
      <c r="K13" s="36">
        <f>K12-($G$7-$G$6)/20</f>
        <v>123.59999999999997</v>
      </c>
      <c r="L13" s="46">
        <f t="shared" si="1"/>
        <v>20.724089618292055</v>
      </c>
      <c r="M13" s="46">
        <f t="shared" si="0"/>
        <v>20.960088813900839</v>
      </c>
      <c r="N13" s="46">
        <f t="shared" si="0"/>
        <v>21.210969707241119</v>
      </c>
      <c r="O13" s="46">
        <f t="shared" si="0"/>
        <v>21.487366681663275</v>
      </c>
      <c r="P13" s="46">
        <f t="shared" si="0"/>
        <v>21.786471850232999</v>
      </c>
      <c r="Q13" s="46">
        <f t="shared" si="0"/>
        <v>22.102077572258025</v>
      </c>
      <c r="R13" s="46">
        <f t="shared" si="0"/>
        <v>22.42871558965733</v>
      </c>
      <c r="S13" s="46">
        <f t="shared" si="0"/>
        <v>22.762294350765117</v>
      </c>
      <c r="T13" s="46">
        <f t="shared" si="0"/>
        <v>23.09989194487666</v>
      </c>
      <c r="U13" s="46">
        <f t="shared" si="0"/>
        <v>23.439448031418678</v>
      </c>
      <c r="V13" s="46">
        <f t="shared" si="0"/>
        <v>23.779511948075537</v>
      </c>
      <c r="W13" s="46">
        <f t="shared" si="0"/>
        <v>24.119060815369053</v>
      </c>
      <c r="X13" s="46">
        <f t="shared" si="0"/>
        <v>24.457372863763737</v>
      </c>
      <c r="Y13" s="46">
        <f t="shared" si="0"/>
        <v>24.793939868959157</v>
      </c>
      <c r="Z13" s="46">
        <f t="shared" si="0"/>
        <v>25.128406384019542</v>
      </c>
      <c r="AA13" s="46">
        <f t="shared" si="0"/>
        <v>25.46052720603852</v>
      </c>
      <c r="AB13" s="46">
        <f t="shared" si="0"/>
        <v>25.790137298762659</v>
      </c>
      <c r="AC13" s="46">
        <f t="shared" si="0"/>
        <v>26.117130296748925</v>
      </c>
    </row>
    <row r="14" spans="1:29">
      <c r="C14" s="3" t="s">
        <v>20</v>
      </c>
      <c r="D14" s="9"/>
      <c r="K14" s="36">
        <f>K13-($G$7-$G$6)/20</f>
        <v>118.44999999999996</v>
      </c>
      <c r="L14" s="46">
        <f t="shared" si="1"/>
        <v>15.574110516499616</v>
      </c>
      <c r="M14" s="46">
        <f t="shared" si="0"/>
        <v>15.824972236564165</v>
      </c>
      <c r="N14" s="46">
        <f t="shared" si="0"/>
        <v>16.131214868528673</v>
      </c>
      <c r="O14" s="46">
        <f t="shared" si="0"/>
        <v>16.480864641606701</v>
      </c>
      <c r="P14" s="46">
        <f t="shared" si="0"/>
        <v>16.853846731168133</v>
      </c>
      <c r="Q14" s="46">
        <f t="shared" si="0"/>
        <v>17.237685757850798</v>
      </c>
      <c r="R14" s="46">
        <f t="shared" si="0"/>
        <v>17.625340807190696</v>
      </c>
      <c r="S14" s="46">
        <f t="shared" si="0"/>
        <v>18.012846398150614</v>
      </c>
      <c r="T14" s="46">
        <f t="shared" si="0"/>
        <v>18.397952348265065</v>
      </c>
      <c r="U14" s="46">
        <f t="shared" si="0"/>
        <v>18.779385957450273</v>
      </c>
      <c r="V14" s="46">
        <f t="shared" si="0"/>
        <v>19.156446142756252</v>
      </c>
      <c r="W14" s="46">
        <f t="shared" si="0"/>
        <v>19.528773601815985</v>
      </c>
      <c r="X14" s="46">
        <f t="shared" si="0"/>
        <v>19.896216689848259</v>
      </c>
      <c r="Y14" s="46">
        <f t="shared" si="0"/>
        <v>20.258750999454435</v>
      </c>
      <c r="Z14" s="46">
        <f t="shared" si="0"/>
        <v>20.616430014004166</v>
      </c>
      <c r="AA14" s="46">
        <f t="shared" si="0"/>
        <v>20.969354252828012</v>
      </c>
      <c r="AB14" s="46">
        <f t="shared" si="0"/>
        <v>21.31765169736741</v>
      </c>
      <c r="AC14" s="46">
        <f t="shared" si="0"/>
        <v>21.661465249166511</v>
      </c>
    </row>
    <row r="15" spans="1:29">
      <c r="D15" s="9"/>
      <c r="K15" s="36">
        <f>K14-($G$7-$G$6)/20</f>
        <v>113.29999999999995</v>
      </c>
      <c r="L15" s="46">
        <f t="shared" si="1"/>
        <v>10.42714143600611</v>
      </c>
      <c r="M15" s="46">
        <f t="shared" si="0"/>
        <v>10.782904927376336</v>
      </c>
      <c r="N15" s="46">
        <f t="shared" si="0"/>
        <v>11.241186245501808</v>
      </c>
      <c r="O15" s="46">
        <f t="shared" si="0"/>
        <v>11.722849548527421</v>
      </c>
      <c r="P15" s="46">
        <f t="shared" si="0"/>
        <v>12.202374793234483</v>
      </c>
      <c r="Q15" s="46">
        <f t="shared" si="0"/>
        <v>12.671825004934192</v>
      </c>
      <c r="R15" s="46">
        <f t="shared" si="0"/>
        <v>13.128948140619784</v>
      </c>
      <c r="S15" s="46">
        <f t="shared" si="0"/>
        <v>13.573511697131835</v>
      </c>
      <c r="T15" s="46">
        <f t="shared" si="0"/>
        <v>14.006023495969671</v>
      </c>
      <c r="U15" s="46">
        <f t="shared" si="0"/>
        <v>14.427241826034901</v>
      </c>
      <c r="V15" s="46">
        <f t="shared" si="0"/>
        <v>14.837977848005835</v>
      </c>
      <c r="W15" s="46">
        <f t="shared" si="0"/>
        <v>15.239015431571701</v>
      </c>
      <c r="X15" s="46">
        <f t="shared" si="0"/>
        <v>15.631080808171859</v>
      </c>
      <c r="Y15" s="46">
        <f t="shared" si="0"/>
        <v>16.014833946457983</v>
      </c>
      <c r="Z15" s="46">
        <f t="shared" si="0"/>
        <v>16.390869356464748</v>
      </c>
      <c r="AA15" s="46">
        <f t="shared" si="0"/>
        <v>16.759720755638611</v>
      </c>
      <c r="AB15" s="46">
        <f t="shared" si="0"/>
        <v>17.121867036859925</v>
      </c>
      <c r="AC15" s="46">
        <f t="shared" si="0"/>
        <v>17.477738371418965</v>
      </c>
    </row>
    <row r="16" spans="1:29">
      <c r="B16" s="9"/>
      <c r="D16" s="9"/>
      <c r="K16" s="36">
        <f>K15-($G$7-$G$6)/20</f>
        <v>108.14999999999995</v>
      </c>
      <c r="L16" s="46">
        <f t="shared" si="1"/>
        <v>5.3969746409822648</v>
      </c>
      <c r="M16" s="46">
        <f t="shared" si="0"/>
        <v>6.1503937718851063</v>
      </c>
      <c r="N16" s="46">
        <f t="shared" si="0"/>
        <v>6.8492708372947249</v>
      </c>
      <c r="O16" s="46">
        <f t="shared" si="0"/>
        <v>7.4813093435034546</v>
      </c>
      <c r="P16" s="46">
        <f t="shared" si="0"/>
        <v>8.0623793835087838</v>
      </c>
      <c r="Q16" s="46">
        <f t="shared" si="0"/>
        <v>8.6042404097496075</v>
      </c>
      <c r="R16" s="46">
        <f t="shared" si="0"/>
        <v>9.114980076734426</v>
      </c>
      <c r="S16" s="46">
        <f t="shared" si="0"/>
        <v>9.6003068633348931</v>
      </c>
      <c r="T16" s="46">
        <f t="shared" si="0"/>
        <v>10.064392085263719</v>
      </c>
      <c r="U16" s="46">
        <f t="shared" si="0"/>
        <v>10.510381333080304</v>
      </c>
      <c r="V16" s="46">
        <f t="shared" si="0"/>
        <v>10.940711297089777</v>
      </c>
      <c r="W16" s="46">
        <f t="shared" si="0"/>
        <v>11.357312846476717</v>
      </c>
      <c r="X16" s="46">
        <f t="shared" si="0"/>
        <v>11.761745742814597</v>
      </c>
      <c r="Y16" s="46">
        <f t="shared" si="0"/>
        <v>12.155290839875434</v>
      </c>
      <c r="Z16" s="46">
        <f t="shared" si="0"/>
        <v>12.539014958206316</v>
      </c>
      <c r="AA16" s="46">
        <f t="shared" si="0"/>
        <v>12.913817658684245</v>
      </c>
      <c r="AB16" s="46">
        <f t="shared" si="0"/>
        <v>13.280465696796405</v>
      </c>
      <c r="AC16" s="46">
        <f t="shared" si="0"/>
        <v>13.639618888083554</v>
      </c>
    </row>
    <row r="17" spans="3:29">
      <c r="D17" s="9"/>
      <c r="K17" s="36">
        <f>K16-($G$7-$G$6)/20</f>
        <v>102.99999999999994</v>
      </c>
      <c r="L17" s="46">
        <f t="shared" si="1"/>
        <v>1.4886550061925945</v>
      </c>
      <c r="M17" s="46">
        <f t="shared" si="0"/>
        <v>2.6055770884099019</v>
      </c>
      <c r="N17" s="46">
        <f t="shared" si="0"/>
        <v>3.4166905441717859</v>
      </c>
      <c r="O17" s="46">
        <f t="shared" si="0"/>
        <v>4.0988575407017507</v>
      </c>
      <c r="P17" s="46">
        <f t="shared" si="0"/>
        <v>4.7046889663901652</v>
      </c>
      <c r="Q17" s="46">
        <f t="shared" si="0"/>
        <v>5.2584582001470324</v>
      </c>
      <c r="R17" s="46">
        <f t="shared" si="0"/>
        <v>5.7737485470020076</v>
      </c>
      <c r="S17" s="46">
        <f t="shared" si="0"/>
        <v>6.2590728112625982</v>
      </c>
      <c r="T17" s="46">
        <f t="shared" si="0"/>
        <v>6.7201838834600167</v>
      </c>
      <c r="U17" s="46">
        <f t="shared" si="0"/>
        <v>7.1611855689265909</v>
      </c>
      <c r="V17" s="46">
        <f t="shared" si="0"/>
        <v>7.5851271822395461</v>
      </c>
      <c r="W17" s="46">
        <f t="shared" si="0"/>
        <v>7.9943479688515495</v>
      </c>
      <c r="X17" s="46">
        <f t="shared" si="0"/>
        <v>8.3906891107339021</v>
      </c>
      <c r="Y17" s="46">
        <f t="shared" si="0"/>
        <v>8.7756306846809835</v>
      </c>
      <c r="Z17" s="46">
        <f t="shared" si="0"/>
        <v>9.1503836950240114</v>
      </c>
      <c r="AA17" s="46">
        <f t="shared" si="0"/>
        <v>9.5159539784354479</v>
      </c>
      <c r="AB17" s="46">
        <f t="shared" si="0"/>
        <v>9.8731878248453739</v>
      </c>
      <c r="AC17" s="46">
        <f t="shared" si="0"/>
        <v>10.222805328792639</v>
      </c>
    </row>
    <row r="18" spans="3:29">
      <c r="D18" s="9"/>
      <c r="K18" s="36">
        <f>K17-($G$7-$G$6)/20</f>
        <v>97.849999999999937</v>
      </c>
      <c r="L18" s="46">
        <f t="shared" si="1"/>
        <v>0.11619580687330266</v>
      </c>
      <c r="M18" s="46">
        <f t="shared" si="0"/>
        <v>0.69939820644865591</v>
      </c>
      <c r="N18" s="46">
        <f t="shared" si="0"/>
        <v>1.283407995655633</v>
      </c>
      <c r="O18" s="46">
        <f t="shared" si="0"/>
        <v>1.8243165979915332</v>
      </c>
      <c r="P18" s="46">
        <f t="shared" si="0"/>
        <v>2.3278905367483631</v>
      </c>
      <c r="Q18" s="46">
        <f t="shared" si="0"/>
        <v>2.801324932251525</v>
      </c>
      <c r="R18" s="46">
        <f t="shared" si="0"/>
        <v>3.2502139530927039</v>
      </c>
      <c r="S18" s="46">
        <f t="shared" si="0"/>
        <v>3.6787351636163663</v>
      </c>
      <c r="T18" s="46">
        <f t="shared" si="0"/>
        <v>4.0900426375926884</v>
      </c>
      <c r="U18" s="46">
        <f t="shared" si="0"/>
        <v>4.4865663346607718</v>
      </c>
      <c r="V18" s="46">
        <f t="shared" si="0"/>
        <v>4.8702172905209409</v>
      </c>
      <c r="W18" s="46">
        <f t="shared" si="0"/>
        <v>5.2425269965131136</v>
      </c>
      <c r="X18" s="46">
        <f t="shared" si="0"/>
        <v>5.6047434240210023</v>
      </c>
      <c r="Y18" s="46">
        <f t="shared" si="0"/>
        <v>5.9578985246808358</v>
      </c>
      <c r="Z18" s="46">
        <f t="shared" si="0"/>
        <v>6.3028566806327007</v>
      </c>
      <c r="AA18" s="46">
        <f t="shared" si="0"/>
        <v>6.6403501794124651</v>
      </c>
      <c r="AB18" s="46">
        <f t="shared" si="0"/>
        <v>6.971005669146578</v>
      </c>
      <c r="AC18" s="46">
        <f t="shared" si="0"/>
        <v>7.2953642197302813</v>
      </c>
    </row>
    <row r="19" spans="3:29">
      <c r="D19" s="9"/>
      <c r="K19" s="36">
        <f>K18-($G$7-$G$6)/20</f>
        <v>92.699999999999932</v>
      </c>
      <c r="L19" s="46">
        <f t="shared" si="1"/>
        <v>1.2962240168456762E-3</v>
      </c>
      <c r="M19" s="46">
        <f t="shared" si="0"/>
        <v>9.9051018357224407E-2</v>
      </c>
      <c r="N19" s="46">
        <f t="shared" si="0"/>
        <v>0.32887403851496444</v>
      </c>
      <c r="O19" s="46">
        <f t="shared" si="0"/>
        <v>0.6174761130700972</v>
      </c>
      <c r="P19" s="46">
        <f t="shared" si="0"/>
        <v>0.92997577194311276</v>
      </c>
      <c r="Q19" s="46">
        <f t="shared" si="0"/>
        <v>1.2514271852007361</v>
      </c>
      <c r="R19" s="46">
        <f t="shared" si="0"/>
        <v>1.574939760004046</v>
      </c>
      <c r="S19" s="46">
        <f t="shared" si="0"/>
        <v>1.8971521996844061</v>
      </c>
      <c r="T19" s="46">
        <f t="shared" si="0"/>
        <v>2.2163833319807829</v>
      </c>
      <c r="U19" s="46">
        <f t="shared" si="0"/>
        <v>2.5318047689846175</v>
      </c>
      <c r="V19" s="46">
        <f t="shared" si="0"/>
        <v>2.8430413756297312</v>
      </c>
      <c r="W19" s="46">
        <f t="shared" si="0"/>
        <v>3.1499662537668236</v>
      </c>
      <c r="X19" s="46">
        <f t="shared" si="0"/>
        <v>3.4525904128442413</v>
      </c>
      <c r="Y19" s="46">
        <f t="shared" si="0"/>
        <v>3.7510011742631839</v>
      </c>
      <c r="Z19" s="46">
        <f t="shared" si="0"/>
        <v>4.0453268269878073</v>
      </c>
      <c r="AA19" s="46">
        <f t="shared" si="0"/>
        <v>4.3357159601860609</v>
      </c>
      <c r="AB19" s="46">
        <f t="shared" si="0"/>
        <v>4.6223252540773458</v>
      </c>
      <c r="AC19" s="46">
        <f t="shared" si="0"/>
        <v>4.9053122649827401</v>
      </c>
    </row>
    <row r="20" spans="3:29">
      <c r="D20" s="9"/>
      <c r="K20" s="36">
        <f>K19-($G$7-$G$6)/20</f>
        <v>87.549999999999926</v>
      </c>
      <c r="L20" s="46">
        <f t="shared" si="1"/>
        <v>1.1076116887995485E-6</v>
      </c>
      <c r="M20" s="46">
        <f t="shared" si="0"/>
        <v>6.0710958203697984E-3</v>
      </c>
      <c r="N20" s="46">
        <f t="shared" si="0"/>
        <v>5.1377670018897259E-2</v>
      </c>
      <c r="O20" s="46">
        <f t="shared" si="0"/>
        <v>0.14715712998171115</v>
      </c>
      <c r="P20" s="46">
        <f t="shared" si="0"/>
        <v>0.28305733856075665</v>
      </c>
      <c r="Q20" s="46">
        <f t="shared" si="0"/>
        <v>0.44761064171381371</v>
      </c>
      <c r="R20" s="46">
        <f t="shared" si="0"/>
        <v>0.63222162725988085</v>
      </c>
      <c r="S20" s="46">
        <f t="shared" si="0"/>
        <v>0.83088808268524339</v>
      </c>
      <c r="T20" s="46">
        <f t="shared" si="0"/>
        <v>1.0394474847116122</v>
      </c>
      <c r="U20" s="46">
        <f t="shared" si="0"/>
        <v>1.2549821924743121</v>
      </c>
      <c r="V20" s="46">
        <f t="shared" si="0"/>
        <v>1.4754156365378215</v>
      </c>
      <c r="W20" s="46">
        <f t="shared" si="0"/>
        <v>1.6992465891479753</v>
      </c>
      <c r="X20" s="46">
        <f t="shared" si="0"/>
        <v>1.9253739598987138</v>
      </c>
      <c r="Y20" s="46">
        <f t="shared" si="0"/>
        <v>2.1529797606372192</v>
      </c>
      <c r="Z20" s="46">
        <f t="shared" si="0"/>
        <v>2.3814496145467672</v>
      </c>
      <c r="AA20" s="46">
        <f t="shared" si="0"/>
        <v>2.6103178221581338</v>
      </c>
      <c r="AB20" s="46">
        <f t="shared" si="0"/>
        <v>2.8392287551328685</v>
      </c>
      <c r="AC20" s="46">
        <f t="shared" si="0"/>
        <v>3.0679092931899916</v>
      </c>
    </row>
    <row r="21" spans="3:29">
      <c r="D21" s="9"/>
      <c r="K21" s="36">
        <f>K20-($G$7-$G$6)/20</f>
        <v>82.39999999999992</v>
      </c>
      <c r="L21" s="46">
        <f t="shared" si="1"/>
        <v>3.9082284277153723E-11</v>
      </c>
      <c r="M21" s="46">
        <f t="shared" si="0"/>
        <v>1.2973609152028449E-4</v>
      </c>
      <c r="N21" s="46">
        <f t="shared" si="0"/>
        <v>4.3058540473589479E-3</v>
      </c>
      <c r="O21" s="46">
        <f t="shared" si="0"/>
        <v>2.257687240021633E-2</v>
      </c>
      <c r="P21" s="46">
        <f t="shared" si="0"/>
        <v>6.129673278442227E-2</v>
      </c>
      <c r="Q21" s="46">
        <f t="shared" si="0"/>
        <v>0.12131153476199508</v>
      </c>
      <c r="R21" s="46">
        <f t="shared" si="0"/>
        <v>0.200790767837844</v>
      </c>
      <c r="S21" s="46">
        <f t="shared" si="0"/>
        <v>0.29710285480892384</v>
      </c>
      <c r="T21" s="46">
        <f t="shared" si="0"/>
        <v>0.4076238471228546</v>
      </c>
      <c r="U21" s="46">
        <f t="shared" si="0"/>
        <v>0.53001848237038018</v>
      </c>
      <c r="V21" s="46">
        <f t="shared" si="0"/>
        <v>0.66230216134990449</v>
      </c>
      <c r="W21" s="46">
        <f t="shared" si="0"/>
        <v>0.80282120665358825</v>
      </c>
      <c r="X21" s="46">
        <f t="shared" si="0"/>
        <v>0.95020801927198661</v>
      </c>
      <c r="Y21" s="46">
        <f t="shared" si="0"/>
        <v>1.1033332078814286</v>
      </c>
      <c r="Z21" s="46">
        <f t="shared" si="0"/>
        <v>1.2612624718502481</v>
      </c>
      <c r="AA21" s="46">
        <f t="shared" si="0"/>
        <v>1.4232202679676611</v>
      </c>
      <c r="AB21" s="46">
        <f t="shared" si="0"/>
        <v>1.5885601035518508</v>
      </c>
      <c r="AC21" s="46">
        <f t="shared" si="0"/>
        <v>1.7567405797332221</v>
      </c>
    </row>
    <row r="22" spans="3:29">
      <c r="D22" s="9"/>
      <c r="K22" s="36">
        <f>K21-($G$7-$G$6)/20</f>
        <v>77.249999999999915</v>
      </c>
      <c r="L22" s="46">
        <f t="shared" si="1"/>
        <v>2.8637068065399235E-17</v>
      </c>
      <c r="M22" s="46">
        <f t="shared" si="1"/>
        <v>7.5595905471852361E-7</v>
      </c>
      <c r="N22" s="46">
        <f t="shared" si="1"/>
        <v>1.6685982050990145E-4</v>
      </c>
      <c r="O22" s="46">
        <f t="shared" si="1"/>
        <v>2.0061218987250523E-3</v>
      </c>
      <c r="P22" s="46">
        <f t="shared" si="1"/>
        <v>8.7037663171306567E-3</v>
      </c>
      <c r="Q22" s="46">
        <f t="shared" si="1"/>
        <v>2.331476806767685E-2</v>
      </c>
      <c r="R22" s="46">
        <f t="shared" si="1"/>
        <v>4.772247682802333E-2</v>
      </c>
      <c r="S22" s="46">
        <f t="shared" si="1"/>
        <v>8.2680893673058975E-2</v>
      </c>
      <c r="T22" s="46">
        <f t="shared" si="1"/>
        <v>0.12817272909713795</v>
      </c>
      <c r="U22" s="46">
        <f t="shared" si="1"/>
        <v>0.18373386496167088</v>
      </c>
      <c r="V22" s="46">
        <f t="shared" si="1"/>
        <v>0.24867573653309671</v>
      </c>
      <c r="W22" s="46">
        <f t="shared" si="1"/>
        <v>0.32222154931497204</v>
      </c>
      <c r="X22" s="46">
        <f t="shared" si="1"/>
        <v>0.40358425277327914</v>
      </c>
      <c r="Y22" s="46">
        <f t="shared" si="1"/>
        <v>0.49200838688161852</v>
      </c>
      <c r="Z22" s="46">
        <f t="shared" si="1"/>
        <v>0.58679048733615868</v>
      </c>
      <c r="AA22" s="46">
        <f t="shared" si="1"/>
        <v>0.6872871562680638</v>
      </c>
      <c r="AB22" s="46">
        <f t="shared" ref="AB22:AC27" si="2">GBlackScholesNGreeek($K22,$C$5,AB$6,$C$7,$C$8,$C$9,$C$10)</f>
        <v>0.7929162662622975</v>
      </c>
      <c r="AC22" s="46">
        <f t="shared" si="2"/>
        <v>0.90315452031111043</v>
      </c>
    </row>
    <row r="23" spans="3:29">
      <c r="D23" s="9"/>
      <c r="K23" s="36">
        <f>K22-($G$7-$G$6)/20</f>
        <v>72.099999999999909</v>
      </c>
      <c r="L23" s="46">
        <f t="shared" si="1"/>
        <v>1.9171664196428201E-25</v>
      </c>
      <c r="M23" s="46">
        <f t="shared" si="1"/>
        <v>8.9702464962685562E-10</v>
      </c>
      <c r="N23" s="46">
        <f t="shared" si="1"/>
        <v>2.5029337148557967E-6</v>
      </c>
      <c r="O23" s="46">
        <f t="shared" si="1"/>
        <v>9.0891321627322059E-5</v>
      </c>
      <c r="P23" s="46">
        <f t="shared" si="1"/>
        <v>7.3396360471031721E-4</v>
      </c>
      <c r="Q23" s="46">
        <f t="shared" si="1"/>
        <v>2.9308184600085885E-3</v>
      </c>
      <c r="R23" s="46">
        <f t="shared" si="1"/>
        <v>7.9288291373019459E-3</v>
      </c>
      <c r="S23" s="46">
        <f t="shared" si="1"/>
        <v>1.6884211949956651E-2</v>
      </c>
      <c r="T23" s="46">
        <f t="shared" si="1"/>
        <v>3.06863516550413E-2</v>
      </c>
      <c r="U23" s="46">
        <f t="shared" si="1"/>
        <v>4.9923546991537782E-2</v>
      </c>
      <c r="V23" s="46">
        <f t="shared" si="1"/>
        <v>7.4918792349619956E-2</v>
      </c>
      <c r="W23" s="46">
        <f t="shared" si="1"/>
        <v>0.10578735391769745</v>
      </c>
      <c r="X23" s="46">
        <f t="shared" si="1"/>
        <v>0.14249319441662545</v>
      </c>
      <c r="Y23" s="46">
        <f t="shared" si="1"/>
        <v>0.18489602658738447</v>
      </c>
      <c r="Z23" s="46">
        <f t="shared" si="1"/>
        <v>0.2327875975091942</v>
      </c>
      <c r="AA23" s="46">
        <f t="shared" si="1"/>
        <v>0.28591842141017709</v>
      </c>
      <c r="AB23" s="46">
        <f t="shared" si="2"/>
        <v>0.34401687616126342</v>
      </c>
      <c r="AC23" s="46">
        <f t="shared" si="2"/>
        <v>0.40680251030035652</v>
      </c>
    </row>
    <row r="24" spans="3:29">
      <c r="D24" s="9"/>
      <c r="K24" s="36">
        <f>K23-($G$7-$G$6)/20</f>
        <v>66.949999999999903</v>
      </c>
      <c r="L24" s="46">
        <f t="shared" si="1"/>
        <v>4.226236662443455E-36</v>
      </c>
      <c r="M24" s="46">
        <f t="shared" si="1"/>
        <v>1.5131610871863025E-13</v>
      </c>
      <c r="N24" s="46">
        <f t="shared" si="1"/>
        <v>1.167490927320896E-8</v>
      </c>
      <c r="O24" s="46">
        <f t="shared" si="1"/>
        <v>1.7939480311266121E-6</v>
      </c>
      <c r="P24" s="46">
        <f t="shared" si="1"/>
        <v>3.2512894777891269E-5</v>
      </c>
      <c r="Q24" s="46">
        <f t="shared" si="1"/>
        <v>2.179539490235697E-4</v>
      </c>
      <c r="R24" s="46">
        <f t="shared" si="1"/>
        <v>8.459160931869221E-4</v>
      </c>
      <c r="S24" s="46">
        <f t="shared" si="1"/>
        <v>2.3508125741909802E-3</v>
      </c>
      <c r="T24" s="46">
        <f t="shared" si="1"/>
        <v>5.2431734725454926E-3</v>
      </c>
      <c r="U24" s="46">
        <f t="shared" si="1"/>
        <v>1.0035312758843645E-2</v>
      </c>
      <c r="V24" s="46">
        <f t="shared" si="1"/>
        <v>1.7189138104015567E-2</v>
      </c>
      <c r="W24" s="46">
        <f t="shared" si="1"/>
        <v>2.708904251835742E-2</v>
      </c>
      <c r="X24" s="46">
        <f t="shared" si="1"/>
        <v>4.0033613842651694E-2</v>
      </c>
      <c r="Y24" s="46">
        <f t="shared" si="1"/>
        <v>5.6238820043473803E-2</v>
      </c>
      <c r="Z24" s="46">
        <f t="shared" si="1"/>
        <v>7.5847029371210128E-2</v>
      </c>
      <c r="AA24" s="46">
        <f t="shared" si="1"/>
        <v>9.893823453282935E-2</v>
      </c>
      <c r="AB24" s="46">
        <f t="shared" si="2"/>
        <v>0.12554140655024959</v>
      </c>
      <c r="AC24" s="46">
        <f t="shared" si="2"/>
        <v>0.15564492976446886</v>
      </c>
    </row>
    <row r="25" spans="3:29">
      <c r="D25" s="9"/>
      <c r="K25" s="36">
        <f>K24-($G$7-$G$6)/20</f>
        <v>61.799999999999905</v>
      </c>
      <c r="L25" s="46">
        <f t="shared" si="1"/>
        <v>8.3336049414868899E-50</v>
      </c>
      <c r="M25" s="46">
        <f t="shared" si="1"/>
        <v>2.3006790324195838E-18</v>
      </c>
      <c r="N25" s="46">
        <f t="shared" si="1"/>
        <v>1.2835444937880189E-11</v>
      </c>
      <c r="O25" s="46">
        <f t="shared" si="1"/>
        <v>1.2638474121496086E-8</v>
      </c>
      <c r="P25" s="46">
        <f t="shared" si="1"/>
        <v>6.4762899131377507E-7</v>
      </c>
      <c r="Q25" s="46">
        <f t="shared" si="1"/>
        <v>8.4414752077205954E-6</v>
      </c>
      <c r="R25" s="46">
        <f t="shared" si="1"/>
        <v>5.2025898829775831E-5</v>
      </c>
      <c r="S25" s="46">
        <f t="shared" si="1"/>
        <v>2.0323785406108595E-4</v>
      </c>
      <c r="T25" s="46">
        <f t="shared" si="1"/>
        <v>5.8873678140494365E-4</v>
      </c>
      <c r="U25" s="46">
        <f t="shared" si="1"/>
        <v>1.3862289061037578E-3</v>
      </c>
      <c r="V25" s="46">
        <f t="shared" si="1"/>
        <v>2.8097408551057135E-3</v>
      </c>
      <c r="W25" s="46">
        <f t="shared" si="1"/>
        <v>5.0911858792653114E-3</v>
      </c>
      <c r="X25" s="46">
        <f t="shared" si="1"/>
        <v>8.4634518060363872E-3</v>
      </c>
      <c r="Y25" s="46">
        <f t="shared" si="1"/>
        <v>1.3147417309832099E-2</v>
      </c>
      <c r="Z25" s="46">
        <f t="shared" si="1"/>
        <v>1.9343327659675225E-2</v>
      </c>
      <c r="AA25" s="46">
        <f t="shared" si="1"/>
        <v>2.7225969386796833E-2</v>
      </c>
      <c r="AB25" s="46">
        <f t="shared" si="2"/>
        <v>3.6942752395006218E-2</v>
      </c>
      <c r="AC25" s="46">
        <f t="shared" si="2"/>
        <v>4.861381995920111E-2</v>
      </c>
    </row>
    <row r="26" spans="3:29">
      <c r="C26" s="49"/>
      <c r="D26" s="9"/>
      <c r="K26" s="36">
        <f>K25-($G$7-$G$6)/20</f>
        <v>56.649999999999906</v>
      </c>
      <c r="L26" s="46">
        <f t="shared" si="1"/>
        <v>2.6766581677337326E-67</v>
      </c>
      <c r="M26" s="46">
        <f t="shared" si="1"/>
        <v>1.7430003928518232E-24</v>
      </c>
      <c r="N26" s="46">
        <f t="shared" si="1"/>
        <v>2.3208906379196417E-15</v>
      </c>
      <c r="O26" s="46">
        <f t="shared" si="1"/>
        <v>2.4541311849802336E-11</v>
      </c>
      <c r="P26" s="46">
        <f t="shared" si="1"/>
        <v>4.7408551215283228E-9</v>
      </c>
      <c r="Q26" s="46">
        <f t="shared" si="1"/>
        <v>1.4431171784937889E-7</v>
      </c>
      <c r="R26" s="46">
        <f t="shared" si="1"/>
        <v>1.60329711995393E-6</v>
      </c>
      <c r="S26" s="46">
        <f t="shared" si="1"/>
        <v>9.6615499831079936E-6</v>
      </c>
      <c r="T26" s="46">
        <f t="shared" si="1"/>
        <v>3.9023600174626586E-5</v>
      </c>
      <c r="U26" s="46">
        <f t="shared" si="1"/>
        <v>1.1954204225631589E-4</v>
      </c>
      <c r="V26" s="46">
        <f t="shared" si="1"/>
        <v>2.9998924833671975E-4</v>
      </c>
      <c r="W26" s="46">
        <f t="shared" si="1"/>
        <v>6.4874893997575456E-4</v>
      </c>
      <c r="X26" s="46">
        <f t="shared" si="1"/>
        <v>1.2516841985654621E-3</v>
      </c>
      <c r="Y26" s="46">
        <f t="shared" si="1"/>
        <v>2.2081598033762556E-3</v>
      </c>
      <c r="Z26" s="46">
        <f t="shared" si="1"/>
        <v>3.6262824082314848E-3</v>
      </c>
      <c r="AA26" s="46">
        <f t="shared" si="1"/>
        <v>5.6181816894468745E-3</v>
      </c>
      <c r="AB26" s="46">
        <f t="shared" si="2"/>
        <v>8.2958389835590118E-3</v>
      </c>
      <c r="AC26" s="46">
        <f t="shared" si="2"/>
        <v>1.1767700907826473E-2</v>
      </c>
    </row>
    <row r="27" spans="3:29" ht="13.5" thickBot="1">
      <c r="C27" s="49"/>
      <c r="D27" s="9"/>
      <c r="K27" s="38">
        <f>K26-($G$7-$G$6)/20</f>
        <v>51.499999999999908</v>
      </c>
      <c r="L27" s="46">
        <f t="shared" si="1"/>
        <v>1.4332969882082901E-89</v>
      </c>
      <c r="M27" s="46">
        <f t="shared" si="1"/>
        <v>2.9832732328783677E-32</v>
      </c>
      <c r="N27" s="46">
        <f t="shared" si="1"/>
        <v>4.2732945663697497E-20</v>
      </c>
      <c r="O27" s="46">
        <f t="shared" si="1"/>
        <v>9.3093647921843458E-15</v>
      </c>
      <c r="P27" s="46">
        <f t="shared" si="1"/>
        <v>9.7499314173940293E-12</v>
      </c>
      <c r="Q27" s="46">
        <f t="shared" si="1"/>
        <v>8.7373103534977063E-10</v>
      </c>
      <c r="R27" s="46">
        <f t="shared" si="1"/>
        <v>2.0543371686421256E-8</v>
      </c>
      <c r="S27" s="46">
        <f t="shared" si="1"/>
        <v>2.1480392442182102E-7</v>
      </c>
      <c r="T27" s="46">
        <f t="shared" si="1"/>
        <v>1.3235491401507855E-6</v>
      </c>
      <c r="U27" s="46">
        <f t="shared" si="1"/>
        <v>5.6627238213818203E-6</v>
      </c>
      <c r="V27" s="46">
        <f t="shared" si="1"/>
        <v>1.8633234906699448E-5</v>
      </c>
      <c r="W27" s="46">
        <f t="shared" si="1"/>
        <v>5.0425378877131484E-5</v>
      </c>
      <c r="X27" s="46">
        <f t="shared" si="1"/>
        <v>1.1749541973749694E-4</v>
      </c>
      <c r="Y27" s="46">
        <f t="shared" si="1"/>
        <v>2.4349593350614894E-4</v>
      </c>
      <c r="Z27" s="46">
        <f t="shared" si="1"/>
        <v>4.5953268912220929E-4</v>
      </c>
      <c r="AA27" s="46">
        <f t="shared" si="1"/>
        <v>8.0378904040350266E-4</v>
      </c>
      <c r="AB27" s="46">
        <f t="shared" si="2"/>
        <v>1.3206587796175603E-3</v>
      </c>
      <c r="AC27" s="46">
        <f t="shared" si="2"/>
        <v>2.0595626294487371E-3</v>
      </c>
    </row>
    <row r="28" spans="3:29">
      <c r="C28" s="49"/>
      <c r="D28" s="9"/>
    </row>
    <row r="29" spans="3:29">
      <c r="C29" s="49"/>
      <c r="D29" s="9"/>
    </row>
    <row r="31" spans="3:29">
      <c r="D31" s="9"/>
      <c r="K31" s="7"/>
    </row>
    <row r="34" spans="4:8">
      <c r="D34" s="37"/>
    </row>
    <row r="36" spans="4:8">
      <c r="D36" s="37"/>
    </row>
    <row r="42" spans="4:8">
      <c r="D42" s="47"/>
      <c r="H42" s="48"/>
    </row>
    <row r="43" spans="4:8">
      <c r="D43" s="47"/>
    </row>
    <row r="44" spans="4:8">
      <c r="D44" s="48"/>
    </row>
    <row r="45" spans="4:8">
      <c r="D45" s="48"/>
    </row>
    <row r="46" spans="4:8">
      <c r="D46" s="48"/>
    </row>
    <row r="48" spans="4:8">
      <c r="D48" s="48"/>
    </row>
    <row r="50" spans="4:4">
      <c r="D50" s="48"/>
    </row>
    <row r="51" spans="4:4">
      <c r="D51" s="48"/>
    </row>
  </sheetData>
  <phoneticPr fontId="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BSM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2020-06-17T13:25:17Z</dcterms:modified>
</cp:coreProperties>
</file>